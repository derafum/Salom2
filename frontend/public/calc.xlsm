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9" codeName="{7AA9133B-0738-3967-A58A-2178011A57A6}"/>
  <workbookPr codeName="ЭтаКнига2" hidePivotFieldList="1"/>
  <mc:AlternateContent xmlns:mc="http://schemas.openxmlformats.org/markup-compatibility/2006">
    <mc:Choice Requires="x15">
      <x15ac:absPath xmlns:x15ac="http://schemas.microsoft.com/office/spreadsheetml/2010/11/ac" url="/Users/danielnahumov/Desktop/"/>
    </mc:Choice>
  </mc:AlternateContent>
  <xr:revisionPtr revIDLastSave="0" documentId="13_ncr:1_{BB2F10BE-38E5-424C-B57E-A23415A86231}" xr6:coauthVersionLast="47" xr6:coauthVersionMax="47" xr10:uidLastSave="{00000000-0000-0000-0000-000000000000}"/>
  <bookViews>
    <workbookView xWindow="900" yWindow="1580" windowWidth="25840" windowHeight="13980" xr2:uid="{00000000-000D-0000-FFFF-FFFF00000000}"/>
  </bookViews>
  <sheets>
    <sheet name="Итоги" sheetId="3" r:id="rId1"/>
    <sheet name="Лист1" sheetId="12" state="hidden" r:id="rId2"/>
    <sheet name="Поартикульно" sheetId="8" r:id="rId3"/>
    <sheet name="Input_details" sheetId="9" r:id="rId4"/>
    <sheet name="Intermediat" sheetId="11" state="hidden" r:id="rId5"/>
    <sheet name="Details" sheetId="1" state="hidden" r:id="rId6"/>
    <sheet name="Номенклатура" sheetId="2" r:id="rId7"/>
    <sheet name="Config" sheetId="10" r:id="rId8"/>
  </sheets>
  <definedNames>
    <definedName name="_xlnm._FilterDatabase" localSheetId="2" hidden="1">Поартикульно!$A$1:$T$128</definedName>
    <definedName name="_xlnm._FilterDatabase" localSheetId="7" hidden="1">Config!$A$1:$B$16362</definedName>
    <definedName name="_xlnm._FilterDatabase" localSheetId="3" hidden="1">Input_details!$B$1:$BE$4474</definedName>
    <definedName name="_xlnm._FilterDatabase" localSheetId="4" hidden="1">Intermediat!$A$1:$AZ$1</definedName>
    <definedName name="Срез_Бренд">#N/A</definedName>
    <definedName name="Срез_Предмет">#N/A</definedName>
    <definedName name="Bonus">Итоги!$C$8</definedName>
    <definedName name="Comission">Итоги!$C$4</definedName>
    <definedName name="Else_Comissions">Итоги!$C$11</definedName>
    <definedName name="Enumeration">Итоги!$C$5</definedName>
    <definedName name="Inspection">Итоги!$C$10</definedName>
    <definedName name="Logostic">Итоги!$C$6</definedName>
    <definedName name="Penalty">Итоги!$C$7</definedName>
    <definedName name="Profit">Итоги!$C$15</definedName>
    <definedName name="Realization_Netcost">Итоги!$C$13</definedName>
    <definedName name="Revenue">Итоги!$C$3</definedName>
    <definedName name="Storage">Итоги!$C$9</definedName>
    <definedName name="Tax">Итоги!$C$14</definedName>
    <definedName name="Tax_Rate">Итоги!$C$2</definedName>
    <definedName name="To_Be_Paid">Итоги!$C$12</definedName>
  </definedNames>
  <calcPr calcId="191029"/>
  <pivotCaches>
    <pivotCache cacheId="1" r:id="rId9"/>
  </pivotCaches>
  <extLst>
    <ext xmlns:x14="http://schemas.microsoft.com/office/spreadsheetml/2009/9/main" uri="{BBE1A952-AA13-448e-AADC-164F8A28A991}">
      <x14:slicerCaches>
        <x14:slicerCache r:id="rId10"/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P2" i="1" l="1"/>
  <c r="BO2" i="1"/>
  <c r="BN2" i="1"/>
  <c r="H5" i="8" l="1"/>
  <c r="H6" i="8"/>
  <c r="BK2" i="1"/>
  <c r="K5" i="8" l="1"/>
  <c r="BA2" i="1" l="1"/>
  <c r="BB2" i="1" l="1"/>
  <c r="BC2" i="1"/>
  <c r="BD2" i="1"/>
  <c r="BG2" i="1"/>
  <c r="BH2" i="1"/>
  <c r="BI2" i="1" l="1"/>
  <c r="BL2" i="1"/>
  <c r="BE2" i="1"/>
  <c r="H9" i="8"/>
  <c r="H1" i="8"/>
  <c r="BF2" i="1" l="1"/>
  <c r="BJ2" i="1"/>
  <c r="BM2" i="1" s="1"/>
  <c r="H8" i="8"/>
  <c r="D14" i="3" s="1"/>
  <c r="D15" i="3" l="1"/>
  <c r="H7" i="8"/>
  <c r="H4" i="8"/>
  <c r="H3" i="8"/>
  <c r="H2" i="8"/>
  <c r="K4" i="8" l="1"/>
  <c r="K6" i="8"/>
  <c r="C10" i="3"/>
  <c r="C11" i="3"/>
  <c r="C9" i="3"/>
  <c r="AD16" i="12" l="1"/>
  <c r="C7" i="3" l="1"/>
  <c r="C6" i="3" l="1"/>
  <c r="C13" i="3"/>
  <c r="L128" i="8" l="1"/>
  <c r="C8" i="3" l="1"/>
  <c r="C4" i="3" l="1"/>
  <c r="C3" i="3" l="1"/>
  <c r="C14" i="3" s="1"/>
  <c r="C5" i="3" l="1"/>
  <c r="C12" i="3" s="1"/>
  <c r="C15" i="3" l="1"/>
  <c r="C16" i="3" l="1"/>
  <c r="C17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vshulga</author>
  </authors>
  <commentList>
    <comment ref="B1" authorId="0" shapeId="0" xr:uid="{00000000-0006-0000-0700-000001000000}">
      <text>
        <r>
          <rPr>
            <b/>
            <sz val="9"/>
            <color indexed="81"/>
            <rFont val="Tahoma"/>
            <family val="2"/>
            <charset val="204"/>
          </rPr>
          <t>Эту графу изменять нельзя!!!</t>
        </r>
      </text>
    </comment>
  </commentList>
</comments>
</file>

<file path=xl/sharedStrings.xml><?xml version="1.0" encoding="utf-8"?>
<sst xmlns="http://schemas.openxmlformats.org/spreadsheetml/2006/main" count="3041" uniqueCount="1057">
  <si>
    <t>№</t>
  </si>
  <si>
    <t>Номер поставки</t>
  </si>
  <si>
    <t>Предмет</t>
  </si>
  <si>
    <t>Код номенклатуры</t>
  </si>
  <si>
    <t>Бренд</t>
  </si>
  <si>
    <t>Артикул поставщика</t>
  </si>
  <si>
    <t>Название</t>
  </si>
  <si>
    <t>Размер</t>
  </si>
  <si>
    <t>Баркод</t>
  </si>
  <si>
    <t>Тип документа</t>
  </si>
  <si>
    <t>Обоснование для оплаты</t>
  </si>
  <si>
    <t>Дата заказа покупателем</t>
  </si>
  <si>
    <t>Дата продажи</t>
  </si>
  <si>
    <t>Кол-во</t>
  </si>
  <si>
    <t>Цена розничная</t>
  </si>
  <si>
    <t>Вайлдберриз реализовал Товар (Пр)</t>
  </si>
  <si>
    <t>Согласованный продуктовый дисконт, %</t>
  </si>
  <si>
    <t>Промокод %</t>
  </si>
  <si>
    <t>Цена розничная с учетом согласованной скидки</t>
  </si>
  <si>
    <t>Размер кВВ, %</t>
  </si>
  <si>
    <t>Размер  кВВ без НДС, % Базовый</t>
  </si>
  <si>
    <t>Итоговый кВВ без НДС, %</t>
  </si>
  <si>
    <t>Вознаграждение с продаж до вычета услуг поверенного, без НДС</t>
  </si>
  <si>
    <t>Возмещение за выдачу и возврат товаров на ПВЗ</t>
  </si>
  <si>
    <t>Вознаграждение Вайлдберриз (ВВ), без НДС</t>
  </si>
  <si>
    <t>НДС с Вознаграждения Вайлдберриз</t>
  </si>
  <si>
    <t>К перечислению Продавцу за реализованный Товар</t>
  </si>
  <si>
    <t>Количество доставок</t>
  </si>
  <si>
    <t>Количество возврата</t>
  </si>
  <si>
    <t>Услуги по доставке товара покупателю</t>
  </si>
  <si>
    <t>Доплаты</t>
  </si>
  <si>
    <t>Стикер МП</t>
  </si>
  <si>
    <t>Номер офиса</t>
  </si>
  <si>
    <t>Наименование офиса доставки</t>
  </si>
  <si>
    <t>ИНН партнера</t>
  </si>
  <si>
    <t>Партнер</t>
  </si>
  <si>
    <t>Склад</t>
  </si>
  <si>
    <t>Страна</t>
  </si>
  <si>
    <t>Тип коробов</t>
  </si>
  <si>
    <t>Номер таможенной декларации</t>
  </si>
  <si>
    <t>ШК</t>
  </si>
  <si>
    <t>Rid</t>
  </si>
  <si>
    <t>Srid</t>
  </si>
  <si>
    <t>Код размера (chrt_id)</t>
  </si>
  <si>
    <t>Артикул WB</t>
  </si>
  <si>
    <t>Себестоимость</t>
  </si>
  <si>
    <t>Продажи, шт</t>
  </si>
  <si>
    <t>Возвраты, шт</t>
  </si>
  <si>
    <t>Продажи, руб</t>
  </si>
  <si>
    <t>Возвраты, руб</t>
  </si>
  <si>
    <t>Сумма реализации</t>
  </si>
  <si>
    <t>Комиссия ВБ</t>
  </si>
  <si>
    <t>К перечислению</t>
  </si>
  <si>
    <t>Налог</t>
  </si>
  <si>
    <t>Себестоимость реализации</t>
  </si>
  <si>
    <t>Прибыль</t>
  </si>
  <si>
    <t>Логистика</t>
  </si>
  <si>
    <t>Продажа:</t>
  </si>
  <si>
    <t>К перечислению:</t>
  </si>
  <si>
    <t>Логистика:</t>
  </si>
  <si>
    <t>Штрафы:</t>
  </si>
  <si>
    <t>Доплаты:</t>
  </si>
  <si>
    <t>Хранение:</t>
  </si>
  <si>
    <t>Прочие удержания:</t>
  </si>
  <si>
    <t>Итого к оплате:</t>
  </si>
  <si>
    <t>Себестоимость реализации:</t>
  </si>
  <si>
    <t>Налог:</t>
  </si>
  <si>
    <t>Прибыль:</t>
  </si>
  <si>
    <t>Комиссия ВБ, с учетом СПП:</t>
  </si>
  <si>
    <t>Налоговая ставка:</t>
  </si>
  <si>
    <t>Рентабельность:</t>
  </si>
  <si>
    <t>ROI:</t>
  </si>
  <si>
    <t>- ввод пользователя</t>
  </si>
  <si>
    <t xml:space="preserve"> Сумма реализации</t>
  </si>
  <si>
    <t xml:space="preserve"> Комиссия ВБ</t>
  </si>
  <si>
    <t xml:space="preserve"> Себестоимость реализации</t>
  </si>
  <si>
    <t xml:space="preserve"> Налог</t>
  </si>
  <si>
    <t xml:space="preserve"> Прибыль</t>
  </si>
  <si>
    <t>Доставки, шт</t>
  </si>
  <si>
    <t>Себестоимость изделия</t>
  </si>
  <si>
    <t xml:space="preserve"> Рентабельность</t>
  </si>
  <si>
    <t xml:space="preserve"> ROI</t>
  </si>
  <si>
    <t xml:space="preserve">Продажи, шт </t>
  </si>
  <si>
    <t xml:space="preserve">Возвраты, шт </t>
  </si>
  <si>
    <t>Платная приемка:</t>
  </si>
  <si>
    <t xml:space="preserve">Логистика </t>
  </si>
  <si>
    <t>Электросталь</t>
  </si>
  <si>
    <t>Водолазки</t>
  </si>
  <si>
    <t>MISHDAN</t>
  </si>
  <si>
    <t>водзамчер</t>
  </si>
  <si>
    <t>42-44</t>
  </si>
  <si>
    <t>2036755113564</t>
  </si>
  <si>
    <t>Джемперы</t>
  </si>
  <si>
    <t>джемпер_полоска/синий</t>
  </si>
  <si>
    <t>ONE SIZE</t>
  </si>
  <si>
    <t>2037047972500</t>
  </si>
  <si>
    <t>Костюмы</t>
  </si>
  <si>
    <t>костюм трикотажный/зел</t>
  </si>
  <si>
    <t>2037166243031</t>
  </si>
  <si>
    <t>костюм трикотажный/кап</t>
  </si>
  <si>
    <t>2037166471656</t>
  </si>
  <si>
    <t>Костюмы спортивные</t>
  </si>
  <si>
    <t>костюм_велюр/голубой</t>
  </si>
  <si>
    <t>M</t>
  </si>
  <si>
    <t>2036961164770</t>
  </si>
  <si>
    <t>костюм_велюр/черный</t>
  </si>
  <si>
    <t>S</t>
  </si>
  <si>
    <t>2036961150148</t>
  </si>
  <si>
    <t>костюм_шорты/мятный</t>
  </si>
  <si>
    <t>2036692177223</t>
  </si>
  <si>
    <t>костюм_V_кор/бежевый</t>
  </si>
  <si>
    <t>ONESIZE</t>
  </si>
  <si>
    <t>2037627327416</t>
  </si>
  <si>
    <t>костюм_V_кор/белый</t>
  </si>
  <si>
    <t>2037627323852</t>
  </si>
  <si>
    <t>костюм_V_кор/зеленый</t>
  </si>
  <si>
    <t>2037627324620</t>
  </si>
  <si>
    <t>костюм_V_кор/светлобежевый</t>
  </si>
  <si>
    <t>2037627328727</t>
  </si>
  <si>
    <t>костюм_V_кор/серый</t>
  </si>
  <si>
    <t>2037627325313</t>
  </si>
  <si>
    <t>костюм_V_кор/синий</t>
  </si>
  <si>
    <t>2037627323869</t>
  </si>
  <si>
    <t>костюм_V_кор/черный</t>
  </si>
  <si>
    <t>2037627321391</t>
  </si>
  <si>
    <t>костюм_V/беж</t>
  </si>
  <si>
    <t>2037048257729</t>
  </si>
  <si>
    <t>костюм_V/сер</t>
  </si>
  <si>
    <t>2037048237363</t>
  </si>
  <si>
    <t>костюм_V/черн</t>
  </si>
  <si>
    <t>2037048220907</t>
  </si>
  <si>
    <t>Лонгсливы</t>
  </si>
  <si>
    <t>лонгслив/голубой</t>
  </si>
  <si>
    <t>2037441506172</t>
  </si>
  <si>
    <t>лонгслив/капучино</t>
  </si>
  <si>
    <t>2037441504796</t>
  </si>
  <si>
    <t>лонгслив/синий</t>
  </si>
  <si>
    <t>2037441510681</t>
  </si>
  <si>
    <t>лонгслив/фуксия</t>
  </si>
  <si>
    <t>2037441510056</t>
  </si>
  <si>
    <t>лонгслив/черный</t>
  </si>
  <si>
    <t>2037441481844</t>
  </si>
  <si>
    <t>Пальто</t>
  </si>
  <si>
    <t>пальто/белаякость/01</t>
  </si>
  <si>
    <t>2036808463684</t>
  </si>
  <si>
    <t>2036808463677</t>
  </si>
  <si>
    <t>пальто/голубой/01</t>
  </si>
  <si>
    <t>2036829444372</t>
  </si>
  <si>
    <t>2036829444365</t>
  </si>
  <si>
    <t>пальто/кофе/01</t>
  </si>
  <si>
    <t>2036829443726</t>
  </si>
  <si>
    <t>2036829443719</t>
  </si>
  <si>
    <t>пальто/кэмал/01</t>
  </si>
  <si>
    <t>2036805622480</t>
  </si>
  <si>
    <t>2036805622473</t>
  </si>
  <si>
    <t>пальто/мятный/01</t>
  </si>
  <si>
    <t>2036829444921</t>
  </si>
  <si>
    <t>пальто/black/01</t>
  </si>
  <si>
    <t>2036801380360</t>
  </si>
  <si>
    <t>2036801380377</t>
  </si>
  <si>
    <t>Свитеры</t>
  </si>
  <si>
    <t>сивтер_горло/сирен</t>
  </si>
  <si>
    <t>2037048134617</t>
  </si>
  <si>
    <t>Тренчкоты</t>
  </si>
  <si>
    <t>Тренч/хаки</t>
  </si>
  <si>
    <t>L</t>
  </si>
  <si>
    <t>2036739942869</t>
  </si>
  <si>
    <t>Шубы искусственные</t>
  </si>
  <si>
    <t>шуба_беж</t>
  </si>
  <si>
    <t>XXL</t>
  </si>
  <si>
    <t>2037241532340</t>
  </si>
  <si>
    <t>XL</t>
  </si>
  <si>
    <t>2037241531855</t>
  </si>
  <si>
    <t>Юбки</t>
  </si>
  <si>
    <t>Юбка02/bejpug</t>
  </si>
  <si>
    <t>42-48</t>
  </si>
  <si>
    <t>2029677678624</t>
  </si>
  <si>
    <t>Юбка02/bejpug/рем</t>
  </si>
  <si>
    <t>2037735441585</t>
  </si>
  <si>
    <t>Юбка02/blackpug</t>
  </si>
  <si>
    <t>2029516793624</t>
  </si>
  <si>
    <t>Юбка02/blackpug/рем</t>
  </si>
  <si>
    <t>2037735442490</t>
  </si>
  <si>
    <t>Юбка02/greenpug</t>
  </si>
  <si>
    <t>2029677468621</t>
  </si>
  <si>
    <t>Юбка02/greenpug/рем</t>
  </si>
  <si>
    <t>2037735445538</t>
  </si>
  <si>
    <t>Юбка02/matpug</t>
  </si>
  <si>
    <t>2029678348625</t>
  </si>
  <si>
    <t>Юбка02/matpug/рем</t>
  </si>
  <si>
    <t>2037735438288</t>
  </si>
  <si>
    <t>Юбка02/whitepug</t>
  </si>
  <si>
    <t>2029678108625</t>
  </si>
  <si>
    <t>Блузки</t>
  </si>
  <si>
    <t>Блузка/Розовый</t>
  </si>
  <si>
    <t>2032190888623</t>
  </si>
  <si>
    <t>Искусственный шелк 100%</t>
  </si>
  <si>
    <t>Брюки</t>
  </si>
  <si>
    <t>777/bejSH</t>
  </si>
  <si>
    <t>2022113118005</t>
  </si>
  <si>
    <t>хлопок 75%; полиэстер 15%; лен 10%</t>
  </si>
  <si>
    <t>777/blackSH</t>
  </si>
  <si>
    <t>2022113027000</t>
  </si>
  <si>
    <t>777/whiteSH</t>
  </si>
  <si>
    <t>2022113085000</t>
  </si>
  <si>
    <t>Брюки01/бежевыебрюки</t>
  </si>
  <si>
    <t>2029516862627</t>
  </si>
  <si>
    <t>хлопок</t>
  </si>
  <si>
    <t>Брюки01/брюкибелые</t>
  </si>
  <si>
    <t>2029679329623</t>
  </si>
  <si>
    <t>Брюки_вельвет/белый</t>
  </si>
  <si>
    <t>2036703220566</t>
  </si>
  <si>
    <t>Хлопок 80%, полиэстер 20%; велюр; вельвет</t>
  </si>
  <si>
    <t>Брюки_вельвет/черный</t>
  </si>
  <si>
    <t>2036703222034</t>
  </si>
  <si>
    <t>Брюки_вельвет/синий</t>
  </si>
  <si>
    <t>2036703222539</t>
  </si>
  <si>
    <t>Брюки_вельвет/зеленый</t>
  </si>
  <si>
    <t>2036703222911</t>
  </si>
  <si>
    <t>Брюки_вельвет/шоколадный</t>
  </si>
  <si>
    <t>2036703223673</t>
  </si>
  <si>
    <t>Брюки_вельвет/горчичный</t>
  </si>
  <si>
    <t>2036703223970</t>
  </si>
  <si>
    <t>эластан; вискоза</t>
  </si>
  <si>
    <t>водзамбел</t>
  </si>
  <si>
    <t>2036755115056</t>
  </si>
  <si>
    <t>водзамсер</t>
  </si>
  <si>
    <t>2036755128612</t>
  </si>
  <si>
    <t>водзамбеж</t>
  </si>
  <si>
    <t>2036755134675</t>
  </si>
  <si>
    <t>Водолазка_01</t>
  </si>
  <si>
    <t>2036697324004</t>
  </si>
  <si>
    <t>кашемир 40%; шерсть 40%; эластан 20%</t>
  </si>
  <si>
    <t>Водолазка_04</t>
  </si>
  <si>
    <t>2036697328576</t>
  </si>
  <si>
    <t>Водолазка_02</t>
  </si>
  <si>
    <t>2036697325414</t>
  </si>
  <si>
    <t>Водолазка_03</t>
  </si>
  <si>
    <t>2036697327135</t>
  </si>
  <si>
    <t>джемпер_полоска</t>
  </si>
  <si>
    <t>2037047886890</t>
  </si>
  <si>
    <t>хлопок; акрил</t>
  </si>
  <si>
    <t>джемпер_полоска/зелен</t>
  </si>
  <si>
    <t>2037047941414</t>
  </si>
  <si>
    <t>джемпер_полоска/сер</t>
  </si>
  <si>
    <t>2037047951406</t>
  </si>
  <si>
    <t>джемпер_полоска/беж</t>
  </si>
  <si>
    <t>2037047966257</t>
  </si>
  <si>
    <t>джемпер_полоска/роз</t>
  </si>
  <si>
    <t>2037047976416</t>
  </si>
  <si>
    <t>черный джемпер</t>
  </si>
  <si>
    <t>2037098866896</t>
  </si>
  <si>
    <t>шерсть 40%; акрил 40%; ангора 20%</t>
  </si>
  <si>
    <t>хлопок; акрил; Трикотаж</t>
  </si>
  <si>
    <t>костюм_V/роз</t>
  </si>
  <si>
    <t>2037048245078</t>
  </si>
  <si>
    <t>костюм_V/бел</t>
  </si>
  <si>
    <t>2037048233020</t>
  </si>
  <si>
    <t>акрил 30%; хлопок 70 %</t>
  </si>
  <si>
    <t>костюм трикотажный/мол</t>
  </si>
  <si>
    <t>2037166389579</t>
  </si>
  <si>
    <t>костюм трикотажный/син</t>
  </si>
  <si>
    <t>2037166523690</t>
  </si>
  <si>
    <t>костюм трикотажный/черн</t>
  </si>
  <si>
    <t>2037166580792</t>
  </si>
  <si>
    <t>костюм трикотажный/роз</t>
  </si>
  <si>
    <t>2037183719519</t>
  </si>
  <si>
    <t>хлопок; акрил; турецкий трикотаж</t>
  </si>
  <si>
    <t>Велюровые_зауж/черный</t>
  </si>
  <si>
    <t>2036969698338</t>
  </si>
  <si>
    <t>велюр; хлопок 35%; полиэстер 60%; эластан 5%</t>
  </si>
  <si>
    <t>Велюровые_зауж/Зеленые</t>
  </si>
  <si>
    <t>2036969723160</t>
  </si>
  <si>
    <t>Велюровые_зауж/Корич</t>
  </si>
  <si>
    <t>2036969792715</t>
  </si>
  <si>
    <t>костюм_шорты/Белый</t>
  </si>
  <si>
    <t>2033425082625</t>
  </si>
  <si>
    <t>хлопок; Трикотаж</t>
  </si>
  <si>
    <t>костюм_шорты/Зеленый</t>
  </si>
  <si>
    <t>2033425162624</t>
  </si>
  <si>
    <t>костюм_шорты/Черный</t>
  </si>
  <si>
    <t>2033425191624</t>
  </si>
  <si>
    <t>2036692177230</t>
  </si>
  <si>
    <t>2036961150155</t>
  </si>
  <si>
    <t>велюр натуральный; хлопок 40%; полиэстер 60%</t>
  </si>
  <si>
    <t>костюм_велюр/бежевый</t>
  </si>
  <si>
    <t>2036961173222</t>
  </si>
  <si>
    <t>костюм_велюр/коричневый</t>
  </si>
  <si>
    <t>2036961162677</t>
  </si>
  <si>
    <t>2036969698321</t>
  </si>
  <si>
    <t>2036969723153</t>
  </si>
  <si>
    <t>2036969792708</t>
  </si>
  <si>
    <t>спорт_комплект/?</t>
  </si>
  <si>
    <t>2037728143250</t>
  </si>
  <si>
    <t>полиамид; эластан; хлопок</t>
  </si>
  <si>
    <t>спорт_комплект/бежевый</t>
  </si>
  <si>
    <t>2037728188992</t>
  </si>
  <si>
    <t>спорт_комплект/ментол</t>
  </si>
  <si>
    <t>2037728219788</t>
  </si>
  <si>
    <t>спорт_комплект/светло-бежевый</t>
  </si>
  <si>
    <t>2037728213519</t>
  </si>
  <si>
    <t>спорт_комплект/серый</t>
  </si>
  <si>
    <t>2037728216565</t>
  </si>
  <si>
    <t xml:space="preserve">спорт_комплект/сиреневый </t>
  </si>
  <si>
    <t>2037728215124</t>
  </si>
  <si>
    <t>спорт_комплект/черный</t>
  </si>
  <si>
    <t>2037728218118</t>
  </si>
  <si>
    <t>спорт_комплект/молочный</t>
  </si>
  <si>
    <t>2037760094725</t>
  </si>
  <si>
    <t>2033424844620</t>
  </si>
  <si>
    <t>2033425079625</t>
  </si>
  <si>
    <t>2033424929624</t>
  </si>
  <si>
    <t>2036961164763</t>
  </si>
  <si>
    <t>2036961173215</t>
  </si>
  <si>
    <t>2036961162660</t>
  </si>
  <si>
    <t>2036969698314</t>
  </si>
  <si>
    <t>2036969723146</t>
  </si>
  <si>
    <t>2036969792692</t>
  </si>
  <si>
    <t>Кофты</t>
  </si>
  <si>
    <t>Кофта_03</t>
  </si>
  <si>
    <t>2036697340189</t>
  </si>
  <si>
    <t>шерсть; акрил; эластан</t>
  </si>
  <si>
    <t>Кофта_04</t>
  </si>
  <si>
    <t>2036697342053</t>
  </si>
  <si>
    <t>Кофта_02</t>
  </si>
  <si>
    <t>2036697339633</t>
  </si>
  <si>
    <t>Кофта_01</t>
  </si>
  <si>
    <t>2036697338681</t>
  </si>
  <si>
    <t>кофта с вырезом/крас</t>
  </si>
  <si>
    <t>2037153084302</t>
  </si>
  <si>
    <t>хлопок; полиэстер</t>
  </si>
  <si>
    <t>кофта с вырезом/кор</t>
  </si>
  <si>
    <t>2037158335010</t>
  </si>
  <si>
    <t>кофта с вырезом/зел</t>
  </si>
  <si>
    <t>2037172572477</t>
  </si>
  <si>
    <t>кофта с вырезом/бел</t>
  </si>
  <si>
    <t>2037210027921</t>
  </si>
  <si>
    <t>кофта с вырезом/чер</t>
  </si>
  <si>
    <t>2037210122725</t>
  </si>
  <si>
    <t>кофта с вырезом/борд</t>
  </si>
  <si>
    <t>2037210004427</t>
  </si>
  <si>
    <t>кофта с вырезом/син</t>
  </si>
  <si>
    <t>2037210099447</t>
  </si>
  <si>
    <t>кофта с вырезом/красн</t>
  </si>
  <si>
    <t>2037210124446</t>
  </si>
  <si>
    <t>кофта с вырезом/сер</t>
  </si>
  <si>
    <t>2037210149913</t>
  </si>
  <si>
    <t>Куртки</t>
  </si>
  <si>
    <t>Джинсовка/Синий</t>
  </si>
  <si>
    <t>2031543913623</t>
  </si>
  <si>
    <t>Джинсовка/Черный</t>
  </si>
  <si>
    <t>2031543957627</t>
  </si>
  <si>
    <t>2031543570628</t>
  </si>
  <si>
    <t>2031543754622</t>
  </si>
  <si>
    <t>Кюлоты</t>
  </si>
  <si>
    <t>Брюки_лапша/бежевый</t>
  </si>
  <si>
    <t>2036703226971</t>
  </si>
  <si>
    <t>хлопок 70%, полиэстер 30%</t>
  </si>
  <si>
    <t>Брюки_лапша/коричневый</t>
  </si>
  <si>
    <t>2036703226841</t>
  </si>
  <si>
    <t>Брюки_лапша/черный</t>
  </si>
  <si>
    <t>2036703224878</t>
  </si>
  <si>
    <t>Брюки_лапша/голубой</t>
  </si>
  <si>
    <t>2036703225936</t>
  </si>
  <si>
    <t>Брюки_лапша/серый</t>
  </si>
  <si>
    <t>2036703225516</t>
  </si>
  <si>
    <t>полиамид 92%; эластан 8%</t>
  </si>
  <si>
    <t>лонгслив/зеленый</t>
  </si>
  <si>
    <t>2037441515518</t>
  </si>
  <si>
    <t>лонгслив/бежевый</t>
  </si>
  <si>
    <t>2037441517246</t>
  </si>
  <si>
    <t>лонгслив/фиолетовый</t>
  </si>
  <si>
    <t>2037441509418</t>
  </si>
  <si>
    <t>лонгслив/белый</t>
  </si>
  <si>
    <t>2037441503553</t>
  </si>
  <si>
    <t>2036829444914</t>
  </si>
  <si>
    <t>Платья</t>
  </si>
  <si>
    <t>689/black</t>
  </si>
  <si>
    <t>2021224360006</t>
  </si>
  <si>
    <t>хлопок 80%; вискоза 15%; полиэстер 5%</t>
  </si>
  <si>
    <t>689/bord</t>
  </si>
  <si>
    <t>2021225200004</t>
  </si>
  <si>
    <t>689/gray</t>
  </si>
  <si>
    <t>2021225662000</t>
  </si>
  <si>
    <t>689/white</t>
  </si>
  <si>
    <t>2021225743006</t>
  </si>
  <si>
    <t>313/black001</t>
  </si>
  <si>
    <t>2022054836006</t>
  </si>
  <si>
    <t>полиэстер 100%</t>
  </si>
  <si>
    <t>313/black002</t>
  </si>
  <si>
    <t>2022056739008</t>
  </si>
  <si>
    <t>313/leopard</t>
  </si>
  <si>
    <t>2022057367002</t>
  </si>
  <si>
    <t>313/white001</t>
  </si>
  <si>
    <t>2022055583008</t>
  </si>
  <si>
    <t>313/white002</t>
  </si>
  <si>
    <t>2022056018004</t>
  </si>
  <si>
    <t>313/white777</t>
  </si>
  <si>
    <t>2033003235627</t>
  </si>
  <si>
    <t>платье с горлом/бел</t>
  </si>
  <si>
    <t>2037214937530</t>
  </si>
  <si>
    <t>платье с горлом/сер</t>
  </si>
  <si>
    <t>2037214678358</t>
  </si>
  <si>
    <t>платье с горлом/капуч</t>
  </si>
  <si>
    <t>2037214832040</t>
  </si>
  <si>
    <t>платье с горлом/зел</t>
  </si>
  <si>
    <t>2037214913756</t>
  </si>
  <si>
    <t>платье с горлом/чер</t>
  </si>
  <si>
    <t>2037214641451</t>
  </si>
  <si>
    <t>Сарафан/Сарафан_Полоска</t>
  </si>
  <si>
    <t>2032293289624</t>
  </si>
  <si>
    <t>хлопок; лен</t>
  </si>
  <si>
    <t>платьелето/1</t>
  </si>
  <si>
    <t>2037728275746</t>
  </si>
  <si>
    <t>вискоза; полиэстер</t>
  </si>
  <si>
    <t>платьелето/2</t>
  </si>
  <si>
    <t>2037728287558</t>
  </si>
  <si>
    <t>платьелето/3</t>
  </si>
  <si>
    <t>2037728288050</t>
  </si>
  <si>
    <t>платьелето/4</t>
  </si>
  <si>
    <t>2037728288357</t>
  </si>
  <si>
    <t>платьелето/5</t>
  </si>
  <si>
    <t>2037728288784</t>
  </si>
  <si>
    <t>платьелето/6</t>
  </si>
  <si>
    <t>2037728289231</t>
  </si>
  <si>
    <t>платьелето/7</t>
  </si>
  <si>
    <t>2037728291494</t>
  </si>
  <si>
    <t>платьеполоска/черный</t>
  </si>
  <si>
    <t>2037728422942</t>
  </si>
  <si>
    <t>хлопок; Трикотаж; Ткань</t>
  </si>
  <si>
    <t>платьеполоска/мятный</t>
  </si>
  <si>
    <t>2037728424960</t>
  </si>
  <si>
    <t>платьеполоска/голубой</t>
  </si>
  <si>
    <t>2037728425745</t>
  </si>
  <si>
    <t>Сарафаны</t>
  </si>
  <si>
    <t>сарафан_джинс</t>
  </si>
  <si>
    <t>2037728450396</t>
  </si>
  <si>
    <t>Хлопок 95% ; эластан 5%</t>
  </si>
  <si>
    <t>2037728450402</t>
  </si>
  <si>
    <t>М</t>
  </si>
  <si>
    <t>2037728450389</t>
  </si>
  <si>
    <t>свитер_горло/черн</t>
  </si>
  <si>
    <t>2037048053659</t>
  </si>
  <si>
    <t>шерсть; акрил</t>
  </si>
  <si>
    <t>свитер_горло/зелен</t>
  </si>
  <si>
    <t>2037048149635</t>
  </si>
  <si>
    <t>свитер_горло/коричн</t>
  </si>
  <si>
    <t>2037048170516</t>
  </si>
  <si>
    <t>свитер_горло/син</t>
  </si>
  <si>
    <t>2037048117740</t>
  </si>
  <si>
    <t>свитер_горло/беж</t>
  </si>
  <si>
    <t>2037048163204</t>
  </si>
  <si>
    <t>свитер_горло/роз</t>
  </si>
  <si>
    <t>2037048121426</t>
  </si>
  <si>
    <t>свитер_горло/бел</t>
  </si>
  <si>
    <t>2037048137137</t>
  </si>
  <si>
    <t>Топы</t>
  </si>
  <si>
    <t>Топ/Бежевый</t>
  </si>
  <si>
    <t>2031967763620</t>
  </si>
  <si>
    <t>шифон</t>
  </si>
  <si>
    <t>Топ/Белый</t>
  </si>
  <si>
    <t>2031967742625</t>
  </si>
  <si>
    <t>Топ/Черный</t>
  </si>
  <si>
    <t>2031967752624</t>
  </si>
  <si>
    <t>Тренч/черный</t>
  </si>
  <si>
    <t>2036739921529</t>
  </si>
  <si>
    <t>вискоза; полиэстер; хлопок</t>
  </si>
  <si>
    <t>Тренч/бежевый</t>
  </si>
  <si>
    <t>2036739934680</t>
  </si>
  <si>
    <t>Тренч/розовый</t>
  </si>
  <si>
    <t>2036739955043</t>
  </si>
  <si>
    <t>Тренч/зеленый</t>
  </si>
  <si>
    <t>2036739962393</t>
  </si>
  <si>
    <t>Тренч/синий</t>
  </si>
  <si>
    <t>2036739959560</t>
  </si>
  <si>
    <t>Тренч/кремовый</t>
  </si>
  <si>
    <t>2036749709049</t>
  </si>
  <si>
    <t>2036739921024</t>
  </si>
  <si>
    <t>2036739932723</t>
  </si>
  <si>
    <t>2036739942487</t>
  </si>
  <si>
    <t>2036739954640</t>
  </si>
  <si>
    <t>2036739961990</t>
  </si>
  <si>
    <t>2036739959263</t>
  </si>
  <si>
    <t>2036749709032</t>
  </si>
  <si>
    <t>Футболки</t>
  </si>
  <si>
    <t>футболка_passion/черный</t>
  </si>
  <si>
    <t>2037728387319</t>
  </si>
  <si>
    <t>хлопок 100%; Cotton</t>
  </si>
  <si>
    <t>футболка_passion/горчичный</t>
  </si>
  <si>
    <t>2037728384486</t>
  </si>
  <si>
    <t>футболка_passion/серый</t>
  </si>
  <si>
    <t>2037728379000</t>
  </si>
  <si>
    <t>футболка_passion/графит</t>
  </si>
  <si>
    <t>2037728375170</t>
  </si>
  <si>
    <t>футболка_passion/белый</t>
  </si>
  <si>
    <t>2037755037584</t>
  </si>
  <si>
    <t>Шорты</t>
  </si>
  <si>
    <t>Шорты_ремень_классик/белый</t>
  </si>
  <si>
    <t>2037743644329</t>
  </si>
  <si>
    <t>Шорты_ремень_классик/салатовый</t>
  </si>
  <si>
    <t>2037743644152</t>
  </si>
  <si>
    <t>Шорты_ремень_классик/хаки</t>
  </si>
  <si>
    <t>2037743644114</t>
  </si>
  <si>
    <t>Шорты_ремень_треугольник/белый</t>
  </si>
  <si>
    <t>2037743686572</t>
  </si>
  <si>
    <t>Шорты_ремень_треугольник/горчичный</t>
  </si>
  <si>
    <t>2037743686541</t>
  </si>
  <si>
    <t>Шорты_ремень_треугольник/салатовый</t>
  </si>
  <si>
    <t>2037743686268</t>
  </si>
  <si>
    <t>Шорты_ремень_треугольник/синий</t>
  </si>
  <si>
    <t>2037743686114</t>
  </si>
  <si>
    <t>Шорты_ремень_треугольник/хаки</t>
  </si>
  <si>
    <t>2037743685964</t>
  </si>
  <si>
    <t>2037743644312</t>
  </si>
  <si>
    <t>2037743644145</t>
  </si>
  <si>
    <t>2037743644107</t>
  </si>
  <si>
    <t>2037743686565</t>
  </si>
  <si>
    <t>2037743686534</t>
  </si>
  <si>
    <t>2037743686251</t>
  </si>
  <si>
    <t>2037743686107</t>
  </si>
  <si>
    <t>2037743685957</t>
  </si>
  <si>
    <t>Шорты_резинка/белый</t>
  </si>
  <si>
    <t>2037743824509</t>
  </si>
  <si>
    <t>Шорты_резинка/розовый</t>
  </si>
  <si>
    <t>2037743824448</t>
  </si>
  <si>
    <t>Шорты_резинка/салатовый</t>
  </si>
  <si>
    <t>2037743824363</t>
  </si>
  <si>
    <t>Шорты_резинка/фиолетовый</t>
  </si>
  <si>
    <t>2037743824240</t>
  </si>
  <si>
    <t>Шорты_резинка/хаки</t>
  </si>
  <si>
    <t>2037743824202</t>
  </si>
  <si>
    <t>Шорты_резинка/черный</t>
  </si>
  <si>
    <t>2037743824097</t>
  </si>
  <si>
    <t>Шорты/Полоска_синяя</t>
  </si>
  <si>
    <t>2032337007627</t>
  </si>
  <si>
    <t>Шорты_ремень_классик/графит</t>
  </si>
  <si>
    <t>2037743644251</t>
  </si>
  <si>
    <t>Шорты_ремень_классик/розовый</t>
  </si>
  <si>
    <t>2037743644206</t>
  </si>
  <si>
    <t>Шорты_ремень_классик/черный</t>
  </si>
  <si>
    <t>2037743644060</t>
  </si>
  <si>
    <t>Шорты_ремень_треугольник/графит</t>
  </si>
  <si>
    <t>2037743686466</t>
  </si>
  <si>
    <t>Шорты_ремень_треугольник/розовый</t>
  </si>
  <si>
    <t>2037743686329</t>
  </si>
  <si>
    <t>Шорты_ремень_треугольник/фиолетовый</t>
  </si>
  <si>
    <t>2037743686046</t>
  </si>
  <si>
    <t>Шорты_ремень_треугольник/фуксия</t>
  </si>
  <si>
    <t>2037743685995</t>
  </si>
  <si>
    <t>Шорты_ремень_классик\фуксия</t>
  </si>
  <si>
    <t>2037780999246</t>
  </si>
  <si>
    <t>Шорты_ремень_классик\синий</t>
  </si>
  <si>
    <t>2037781065797</t>
  </si>
  <si>
    <t>Шорты_ремень_классик\светло-серый</t>
  </si>
  <si>
    <t>2037780746444</t>
  </si>
  <si>
    <t>Шорты_ремень_треугольник\черный</t>
  </si>
  <si>
    <t>2037781072696</t>
  </si>
  <si>
    <t>Шорты_ремень_треугольник\светло-серый</t>
  </si>
  <si>
    <t>2037781073563</t>
  </si>
  <si>
    <t>Шорты_резинка\графит</t>
  </si>
  <si>
    <t>2037781075505</t>
  </si>
  <si>
    <t>Шорты_резинка\светло-серый</t>
  </si>
  <si>
    <t>2037781076076</t>
  </si>
  <si>
    <t>Шорты_резинка\фуксия</t>
  </si>
  <si>
    <t>2037781076670</t>
  </si>
  <si>
    <t>2037743644336</t>
  </si>
  <si>
    <t>2037743644169</t>
  </si>
  <si>
    <t>2037743644121</t>
  </si>
  <si>
    <t>2037743686589</t>
  </si>
  <si>
    <t>2037743686558</t>
  </si>
  <si>
    <t>2037743686275</t>
  </si>
  <si>
    <t>2037743686121</t>
  </si>
  <si>
    <t>2037743685971</t>
  </si>
  <si>
    <t>2037241513080</t>
  </si>
  <si>
    <t>искусственный мех; эко мех</t>
  </si>
  <si>
    <t>шуба_черн</t>
  </si>
  <si>
    <t>2037241513769</t>
  </si>
  <si>
    <t>шуба_корич</t>
  </si>
  <si>
    <t>2037241511857</t>
  </si>
  <si>
    <t>2037241527841</t>
  </si>
  <si>
    <t>2037241538267</t>
  </si>
  <si>
    <t>2037241528657</t>
  </si>
  <si>
    <t>2037241538274</t>
  </si>
  <si>
    <t>XXXL</t>
  </si>
  <si>
    <t>2037241532944</t>
  </si>
  <si>
    <t>2037241529326</t>
  </si>
  <si>
    <t>2037241538281</t>
  </si>
  <si>
    <t>XXXXL</t>
  </si>
  <si>
    <t>2037241533712</t>
  </si>
  <si>
    <t>2037241530186</t>
  </si>
  <si>
    <t>2037241538298</t>
  </si>
  <si>
    <t>Юбка11/белыйгорох</t>
  </si>
  <si>
    <t>2029682678626</t>
  </si>
  <si>
    <t>Юбкасремнем/мята</t>
  </si>
  <si>
    <t>2037715024470</t>
  </si>
  <si>
    <t>юбка70бол</t>
  </si>
  <si>
    <t>46-50</t>
  </si>
  <si>
    <t>2036706259815</t>
  </si>
  <si>
    <t>46-52</t>
  </si>
  <si>
    <t>2036696471259</t>
  </si>
  <si>
    <t>Столбец1</t>
  </si>
  <si>
    <t>Столбец2</t>
  </si>
  <si>
    <t>платье_V\черный</t>
  </si>
  <si>
    <t>2037851104296</t>
  </si>
  <si>
    <t>платье_V\белый</t>
  </si>
  <si>
    <t>2037851100694</t>
  </si>
  <si>
    <t>платье_V\капучино</t>
  </si>
  <si>
    <t>2037851104289</t>
  </si>
  <si>
    <t>платье_V\горчичный</t>
  </si>
  <si>
    <t>2037851102643</t>
  </si>
  <si>
    <t>угол/бежевый</t>
  </si>
  <si>
    <t>40-44</t>
  </si>
  <si>
    <t>2037885597965</t>
  </si>
  <si>
    <t>хлопок; лайкра</t>
  </si>
  <si>
    <t>угол/белый</t>
  </si>
  <si>
    <t>2037885602256</t>
  </si>
  <si>
    <t>угол/голубой</t>
  </si>
  <si>
    <t>2037885600160</t>
  </si>
  <si>
    <t>угол/желтый</t>
  </si>
  <si>
    <t>2037885598344</t>
  </si>
  <si>
    <t>угол/зеленый</t>
  </si>
  <si>
    <t>2037885598481</t>
  </si>
  <si>
    <t xml:space="preserve">угол/кофейный </t>
  </si>
  <si>
    <t>2037885606391</t>
  </si>
  <si>
    <t>угол/мятный</t>
  </si>
  <si>
    <t>2037885601235</t>
  </si>
  <si>
    <t>угол/оранжевый</t>
  </si>
  <si>
    <t>2037885598122</t>
  </si>
  <si>
    <t>угол/розовый</t>
  </si>
  <si>
    <t>2037885602140</t>
  </si>
  <si>
    <t>угол/светло-серый</t>
  </si>
  <si>
    <t>2037885602485</t>
  </si>
  <si>
    <t>угол/синий</t>
  </si>
  <si>
    <t>2037885598634</t>
  </si>
  <si>
    <t>угол/сиреневый</t>
  </si>
  <si>
    <t>2037885601846</t>
  </si>
  <si>
    <t>угол/темно-серый</t>
  </si>
  <si>
    <t>2037885602577</t>
  </si>
  <si>
    <t>угол/фукси</t>
  </si>
  <si>
    <t>2037885598818</t>
  </si>
  <si>
    <t>угол/черный</t>
  </si>
  <si>
    <t>2037885573051</t>
  </si>
  <si>
    <t>футболка_полос_зеленый</t>
  </si>
  <si>
    <t>оверсайз</t>
  </si>
  <si>
    <t>2037914221748</t>
  </si>
  <si>
    <t>хлопок 85%; акрил 10%; эластан 5%</t>
  </si>
  <si>
    <t>футболка_полос_коричневый</t>
  </si>
  <si>
    <t>2037914221717</t>
  </si>
  <si>
    <t>футболка_полос_синий</t>
  </si>
  <si>
    <t>2037914221816</t>
  </si>
  <si>
    <t>футболка_полос_черный</t>
  </si>
  <si>
    <t>2037914204864</t>
  </si>
  <si>
    <t>42</t>
  </si>
  <si>
    <t>44</t>
  </si>
  <si>
    <t>46</t>
  </si>
  <si>
    <t>2038237573248</t>
  </si>
  <si>
    <t>48</t>
  </si>
  <si>
    <t>2038237573255</t>
  </si>
  <si>
    <t>2038237579127</t>
  </si>
  <si>
    <t>2038237579134</t>
  </si>
  <si>
    <t>2038237580604</t>
  </si>
  <si>
    <t>2038237580611</t>
  </si>
  <si>
    <t>2038237581540</t>
  </si>
  <si>
    <t>2038237581557</t>
  </si>
  <si>
    <t>2038237581069</t>
  </si>
  <si>
    <t>2038237581175</t>
  </si>
  <si>
    <t>2038237579721</t>
  </si>
  <si>
    <t>2038237579738</t>
  </si>
  <si>
    <t>водолазка300/бежевый</t>
  </si>
  <si>
    <t>42-46</t>
  </si>
  <si>
    <t>2038337213020</t>
  </si>
  <si>
    <t>водолазка300/белый</t>
  </si>
  <si>
    <t>2038337200433</t>
  </si>
  <si>
    <t>водолазка300/карал</t>
  </si>
  <si>
    <t>2038337210685</t>
  </si>
  <si>
    <t>водолазка300/розовый</t>
  </si>
  <si>
    <t>2038337220240</t>
  </si>
  <si>
    <t>водолазка300/серый</t>
  </si>
  <si>
    <t>2038337215802</t>
  </si>
  <si>
    <t>водолазка300/синий</t>
  </si>
  <si>
    <t>2038337227072</t>
  </si>
  <si>
    <t>водолазка300/фуксия</t>
  </si>
  <si>
    <t>2038337223333</t>
  </si>
  <si>
    <t>водолазка300/черный</t>
  </si>
  <si>
    <t>2038337189813</t>
  </si>
  <si>
    <t>костюм024/графит</t>
  </si>
  <si>
    <t>2038297318957</t>
  </si>
  <si>
    <t>костюм024/оранжевый</t>
  </si>
  <si>
    <t>2038297318797</t>
  </si>
  <si>
    <t>костюм024/светлобежевый</t>
  </si>
  <si>
    <t>2038297318766</t>
  </si>
  <si>
    <t>костюм024/синий</t>
  </si>
  <si>
    <t>2038297318834</t>
  </si>
  <si>
    <t>костюм024/темнобежевый</t>
  </si>
  <si>
    <t>2038297318896</t>
  </si>
  <si>
    <t>костюм024/черный</t>
  </si>
  <si>
    <t>2038297318735</t>
  </si>
  <si>
    <t>костюм026/бордовый</t>
  </si>
  <si>
    <t>2038288722404</t>
  </si>
  <si>
    <t>костюм026/молочный</t>
  </si>
  <si>
    <t>2038288697061</t>
  </si>
  <si>
    <t>костюм026/мятный</t>
  </si>
  <si>
    <t>2038288726662</t>
  </si>
  <si>
    <t>костюм026/розовый</t>
  </si>
  <si>
    <t>2038288763933</t>
  </si>
  <si>
    <t>костюм026/салатовый</t>
  </si>
  <si>
    <t>2038288754375</t>
  </si>
  <si>
    <t>костюм026/серый</t>
  </si>
  <si>
    <t>2038288686393</t>
  </si>
  <si>
    <t>костюм026/черный</t>
  </si>
  <si>
    <t>2038288683354</t>
  </si>
  <si>
    <t>костюм060/бежевый</t>
  </si>
  <si>
    <t>2038297640591</t>
  </si>
  <si>
    <t>костюм060/графит</t>
  </si>
  <si>
    <t>2038297640522</t>
  </si>
  <si>
    <t>костюм060/зеленый</t>
  </si>
  <si>
    <t>2038297640683</t>
  </si>
  <si>
    <t>костюм060/розовый</t>
  </si>
  <si>
    <t>2038297640621</t>
  </si>
  <si>
    <t>костюм060/серый</t>
  </si>
  <si>
    <t>2038297640669</t>
  </si>
  <si>
    <t>костюм060/синий</t>
  </si>
  <si>
    <t>2038297640553</t>
  </si>
  <si>
    <t>костюм069/бежевый</t>
  </si>
  <si>
    <t>2038297364428</t>
  </si>
  <si>
    <t>костюм069/белый</t>
  </si>
  <si>
    <t>2038297364367</t>
  </si>
  <si>
    <t>костюм069/мятный</t>
  </si>
  <si>
    <t>2038297364565</t>
  </si>
  <si>
    <t>костюм069/серый</t>
  </si>
  <si>
    <t>2038297364435</t>
  </si>
  <si>
    <t>костюм069/черный</t>
  </si>
  <si>
    <t>2038297364299</t>
  </si>
  <si>
    <t>костюм077/бежевый</t>
  </si>
  <si>
    <t>2038297565825</t>
  </si>
  <si>
    <t>костюм077/бордовый</t>
  </si>
  <si>
    <t>2038297565764</t>
  </si>
  <si>
    <t>костюм077/светлобежевый</t>
  </si>
  <si>
    <t>2038297565696</t>
  </si>
  <si>
    <t>костюм088/</t>
  </si>
  <si>
    <t>A</t>
  </si>
  <si>
    <t>2038297292158</t>
  </si>
  <si>
    <t>костюм088/белый</t>
  </si>
  <si>
    <t>2038297292059</t>
  </si>
  <si>
    <t>костюм088/зеленый</t>
  </si>
  <si>
    <t>2038310461035</t>
  </si>
  <si>
    <t>костюм088/синий</t>
  </si>
  <si>
    <t>2038297292103</t>
  </si>
  <si>
    <t>костюм088/черный</t>
  </si>
  <si>
    <t>2038297292028</t>
  </si>
  <si>
    <t>костюм090/бежевый</t>
  </si>
  <si>
    <t>2038297618712</t>
  </si>
  <si>
    <t>костюм090/графит</t>
  </si>
  <si>
    <t>2038297618835</t>
  </si>
  <si>
    <t>костюм090/зеленый</t>
  </si>
  <si>
    <t>2038297618750</t>
  </si>
  <si>
    <t>костюм090/розовый</t>
  </si>
  <si>
    <t>2038297618811</t>
  </si>
  <si>
    <t>костюм090/серый</t>
  </si>
  <si>
    <t>2038297618781</t>
  </si>
  <si>
    <t>костюм090/синий</t>
  </si>
  <si>
    <t>2038297618675</t>
  </si>
  <si>
    <t>костюм090/черный</t>
  </si>
  <si>
    <t>2038297618637</t>
  </si>
  <si>
    <t>костюм095_1/бежевый</t>
  </si>
  <si>
    <t>2038297390779</t>
  </si>
  <si>
    <t>костюм095_1/зеленый</t>
  </si>
  <si>
    <t>2038297390663</t>
  </si>
  <si>
    <t>костюм095_1/синий</t>
  </si>
  <si>
    <t>2038297390748</t>
  </si>
  <si>
    <t>костюм095_1/фиолетовый</t>
  </si>
  <si>
    <t>2038297390700</t>
  </si>
  <si>
    <t>костюм095_2/бежевый</t>
  </si>
  <si>
    <t>2038297414987</t>
  </si>
  <si>
    <t>костюм095_2/графит</t>
  </si>
  <si>
    <t>2038297414949</t>
  </si>
  <si>
    <t>костюм095_2/молочный</t>
  </si>
  <si>
    <t>2038297414864</t>
  </si>
  <si>
    <t>костюм095_2/оранжевый</t>
  </si>
  <si>
    <t>2038297414888</t>
  </si>
  <si>
    <t>костюм095_2/синий</t>
  </si>
  <si>
    <t>2038297414925</t>
  </si>
  <si>
    <t>костюм095_2/черный</t>
  </si>
  <si>
    <t>2038297414857</t>
  </si>
  <si>
    <t>костюм123/бежевый</t>
  </si>
  <si>
    <t>2038297542147</t>
  </si>
  <si>
    <t>костюм123/зеленый</t>
  </si>
  <si>
    <t>2038297542031</t>
  </si>
  <si>
    <t>костюм123/розовый</t>
  </si>
  <si>
    <t>2038297542116</t>
  </si>
  <si>
    <t>костюм123/серый</t>
  </si>
  <si>
    <t>2038297542086</t>
  </si>
  <si>
    <t>костюм123/синий</t>
  </si>
  <si>
    <t>2038297542079</t>
  </si>
  <si>
    <t>костюм123/черный</t>
  </si>
  <si>
    <t>2038297542017</t>
  </si>
  <si>
    <t>костюм222/бежевый</t>
  </si>
  <si>
    <t>2038297496235</t>
  </si>
  <si>
    <t>костюм222/графит</t>
  </si>
  <si>
    <t>2038297496167</t>
  </si>
  <si>
    <t>костюм222/зеленый</t>
  </si>
  <si>
    <t>2038297496129</t>
  </si>
  <si>
    <t>костюм222/розовый</t>
  </si>
  <si>
    <t>2038297496211</t>
  </si>
  <si>
    <t>костюм222/серый</t>
  </si>
  <si>
    <t>2038297496198</t>
  </si>
  <si>
    <t>костюм222/синий</t>
  </si>
  <si>
    <t>2038297496099</t>
  </si>
  <si>
    <t>костюм222/черный</t>
  </si>
  <si>
    <t>2038297496051</t>
  </si>
  <si>
    <t>костюм689/бежевый</t>
  </si>
  <si>
    <t>2038294214979</t>
  </si>
  <si>
    <t>костюм689/графит</t>
  </si>
  <si>
    <t>2038294214788</t>
  </si>
  <si>
    <t>костюм689/зеленый</t>
  </si>
  <si>
    <t>2038294215013</t>
  </si>
  <si>
    <t>костюм689/розовый</t>
  </si>
  <si>
    <t>2038294214818</t>
  </si>
  <si>
    <t>костюм689/серый</t>
  </si>
  <si>
    <t>2038294214733</t>
  </si>
  <si>
    <t>костюм689/синий</t>
  </si>
  <si>
    <t>2038294214672</t>
  </si>
  <si>
    <t>костюм689/черный</t>
  </si>
  <si>
    <t>2038294214900</t>
  </si>
  <si>
    <t>кофта014/бежевый</t>
  </si>
  <si>
    <t>2038310748648</t>
  </si>
  <si>
    <t>кофта014/белый</t>
  </si>
  <si>
    <t>2038310748570</t>
  </si>
  <si>
    <t>кофта014/голубой</t>
  </si>
  <si>
    <t>2038310748914</t>
  </si>
  <si>
    <t>кофта014/графит</t>
  </si>
  <si>
    <t>2038310748594</t>
  </si>
  <si>
    <t>кофта014/желтый</t>
  </si>
  <si>
    <t>2038310748617</t>
  </si>
  <si>
    <t>кофта014/зеленый</t>
  </si>
  <si>
    <t>2038310748662</t>
  </si>
  <si>
    <t>кофта014/ментоловый</t>
  </si>
  <si>
    <t>2038310748631</t>
  </si>
  <si>
    <t>кофта014/оранжевый</t>
  </si>
  <si>
    <t>2038310748754</t>
  </si>
  <si>
    <t>кофта014/розовый</t>
  </si>
  <si>
    <t>2038310748686</t>
  </si>
  <si>
    <t>кофта014/серый</t>
  </si>
  <si>
    <t>2038310748624</t>
  </si>
  <si>
    <t>кофта014/синий</t>
  </si>
  <si>
    <t>2038310748853</t>
  </si>
  <si>
    <t>кофта014/темнобежевый</t>
  </si>
  <si>
    <t>2038310748709</t>
  </si>
  <si>
    <t>кофта014/фиолетовый</t>
  </si>
  <si>
    <t>2038310748600</t>
  </si>
  <si>
    <t>кофта014/фуксия</t>
  </si>
  <si>
    <t>2038310748655</t>
  </si>
  <si>
    <t>кофта014/черный</t>
  </si>
  <si>
    <t>2038310748563</t>
  </si>
  <si>
    <t>кофта077/бежевый</t>
  </si>
  <si>
    <t>2038311765224</t>
  </si>
  <si>
    <t>кофта077/зеленый</t>
  </si>
  <si>
    <t>2038311765019</t>
  </si>
  <si>
    <t>кофта077/розовый</t>
  </si>
  <si>
    <t>2038311764999</t>
  </si>
  <si>
    <t>кофта077/серый</t>
  </si>
  <si>
    <t>2038311765354</t>
  </si>
  <si>
    <t>кофта077/синий</t>
  </si>
  <si>
    <t>2038311764821</t>
  </si>
  <si>
    <t>кофта077/сиреневый</t>
  </si>
  <si>
    <t>2038311765156</t>
  </si>
  <si>
    <t>кофта077/фуксия</t>
  </si>
  <si>
    <t>2038311765170</t>
  </si>
  <si>
    <t>кофта077/черный</t>
  </si>
  <si>
    <t>2038311765088</t>
  </si>
  <si>
    <t>кофта103/бежевый</t>
  </si>
  <si>
    <t>2038310629596</t>
  </si>
  <si>
    <t>кофта103/белый</t>
  </si>
  <si>
    <t>2038310628858</t>
  </si>
  <si>
    <t>кофта103/голубой</t>
  </si>
  <si>
    <t>2038310629510</t>
  </si>
  <si>
    <t>кофта103/желтый</t>
  </si>
  <si>
    <t>2038310629091</t>
  </si>
  <si>
    <t>кофта103/зеленый</t>
  </si>
  <si>
    <t>2038310629329</t>
  </si>
  <si>
    <t>кофта103/ментоловый</t>
  </si>
  <si>
    <t>2038310629114</t>
  </si>
  <si>
    <t>кофта103/оранжевый</t>
  </si>
  <si>
    <t>2038310629220</t>
  </si>
  <si>
    <t>кофта103/розовый</t>
  </si>
  <si>
    <t>2038310629718</t>
  </si>
  <si>
    <t>кофта103/серый</t>
  </si>
  <si>
    <t>2038310629282</t>
  </si>
  <si>
    <t>кофта103/синий</t>
  </si>
  <si>
    <t>2038310628995</t>
  </si>
  <si>
    <t>кофта103/темнобежевый</t>
  </si>
  <si>
    <t>2038310628896</t>
  </si>
  <si>
    <t>кофта103/фиолетовый</t>
  </si>
  <si>
    <t>2038310629008</t>
  </si>
  <si>
    <t>кофта103/фуксия</t>
  </si>
  <si>
    <t>2038310629732</t>
  </si>
  <si>
    <t>кофта103/черный</t>
  </si>
  <si>
    <t>2038310628728</t>
  </si>
  <si>
    <t>кофта120/белый</t>
  </si>
  <si>
    <t>2038311249953</t>
  </si>
  <si>
    <t>кофта120/бордовый</t>
  </si>
  <si>
    <t>2038311249670</t>
  </si>
  <si>
    <t>кофта120/серый</t>
  </si>
  <si>
    <t>2038311248642</t>
  </si>
  <si>
    <t>кофта120/темносиний</t>
  </si>
  <si>
    <t>2038311248871</t>
  </si>
  <si>
    <t>кофта120/черный</t>
  </si>
  <si>
    <t>2038311250249</t>
  </si>
  <si>
    <t>кофта130/зеленый</t>
  </si>
  <si>
    <t>2038311728458</t>
  </si>
  <si>
    <t>кофта130/коричневый</t>
  </si>
  <si>
    <t>2038311728397</t>
  </si>
  <si>
    <t>кофта130/оранжевый</t>
  </si>
  <si>
    <t>2038311728496</t>
  </si>
  <si>
    <t>кофта130/розовый</t>
  </si>
  <si>
    <t>2038311728328</t>
  </si>
  <si>
    <t>кофта130/синий</t>
  </si>
  <si>
    <t>2038311728137</t>
  </si>
  <si>
    <t>кофта130/черный</t>
  </si>
  <si>
    <t>2038311728267</t>
  </si>
  <si>
    <t>кофта140/бежевый</t>
  </si>
  <si>
    <t>2038311614546</t>
  </si>
  <si>
    <t>кофта140/зеленый</t>
  </si>
  <si>
    <t>2038311599607</t>
  </si>
  <si>
    <t>кофта140/оранжевый</t>
  </si>
  <si>
    <t>2038311637958</t>
  </si>
  <si>
    <t>кофта140/розовый</t>
  </si>
  <si>
    <t>2038311575977</t>
  </si>
  <si>
    <t>кофта140/синий</t>
  </si>
  <si>
    <t>2038311580940</t>
  </si>
  <si>
    <t>кофта140/черный</t>
  </si>
  <si>
    <t>2038311572525</t>
  </si>
  <si>
    <t>кофта150/бежевый</t>
  </si>
  <si>
    <t>2038311778422</t>
  </si>
  <si>
    <t>кофта150/зеленый</t>
  </si>
  <si>
    <t>2038311778576</t>
  </si>
  <si>
    <t>кофта150/оранжевый</t>
  </si>
  <si>
    <t>2038311778354</t>
  </si>
  <si>
    <t>кофта150/розовый</t>
  </si>
  <si>
    <t>2038311778620</t>
  </si>
  <si>
    <t>кофта150/синий</t>
  </si>
  <si>
    <t>2038311778453</t>
  </si>
  <si>
    <t>кофта150/черный</t>
  </si>
  <si>
    <t>2038311778538</t>
  </si>
  <si>
    <t>кофта160/бежевый1</t>
  </si>
  <si>
    <t>2038311002329</t>
  </si>
  <si>
    <t>кофта160/бежевый2</t>
  </si>
  <si>
    <t>2038311005849</t>
  </si>
  <si>
    <t>кофта160/белый</t>
  </si>
  <si>
    <t>2038310995363</t>
  </si>
  <si>
    <t>кофта160/зеленый</t>
  </si>
  <si>
    <t>2038310999132</t>
  </si>
  <si>
    <t>кофта160/синий</t>
  </si>
  <si>
    <t>2038310984626</t>
  </si>
  <si>
    <t>кофта160/фуксия</t>
  </si>
  <si>
    <t>2038311033675</t>
  </si>
  <si>
    <t>кофта160/черный</t>
  </si>
  <si>
    <t>2038311011000</t>
  </si>
  <si>
    <t>кофта990/белый</t>
  </si>
  <si>
    <t>2038310879410</t>
  </si>
  <si>
    <t>кофта990/голубой</t>
  </si>
  <si>
    <t>2038310879366</t>
  </si>
  <si>
    <t>кофта990/графит</t>
  </si>
  <si>
    <t>2038310879519</t>
  </si>
  <si>
    <t>кофта990/желтый</t>
  </si>
  <si>
    <t>2038310879618</t>
  </si>
  <si>
    <t>кофта990/зеленый</t>
  </si>
  <si>
    <t>2038310879380</t>
  </si>
  <si>
    <t>кофта990/ментоловый</t>
  </si>
  <si>
    <t>2038310879434</t>
  </si>
  <si>
    <t>кофта990/оранжевый</t>
  </si>
  <si>
    <t>2038310879267</t>
  </si>
  <si>
    <t>кофта990/розовый</t>
  </si>
  <si>
    <t>2038310879663</t>
  </si>
  <si>
    <t>кофта990/светлобежевый</t>
  </si>
  <si>
    <t>2038310879533</t>
  </si>
  <si>
    <t>кофта990/серый</t>
  </si>
  <si>
    <t>2038310879373</t>
  </si>
  <si>
    <t>кофта990/синий</t>
  </si>
  <si>
    <t>2038310879328</t>
  </si>
  <si>
    <t>кофта990/темнобежевый</t>
  </si>
  <si>
    <t>2038310879427</t>
  </si>
  <si>
    <t>кофта990/фиолетовый</t>
  </si>
  <si>
    <t>2038310879472</t>
  </si>
  <si>
    <t>кофта990/фуксия</t>
  </si>
  <si>
    <t>2038310879571</t>
  </si>
  <si>
    <t>Тула</t>
  </si>
  <si>
    <t>Невинномысск</t>
  </si>
  <si>
    <t>шуба_шоколад</t>
  </si>
  <si>
    <t>2038298902148</t>
  </si>
  <si>
    <t>2038298902131</t>
  </si>
  <si>
    <t>2038298902100</t>
  </si>
  <si>
    <t>2038298902117</t>
  </si>
  <si>
    <t>2038298902124</t>
  </si>
  <si>
    <t>платье с горлом/син</t>
  </si>
  <si>
    <t>2038641637352</t>
  </si>
  <si>
    <t>платье с горлом/белый</t>
  </si>
  <si>
    <t>2038641642530</t>
  </si>
  <si>
    <t>платье с горлом/мята</t>
  </si>
  <si>
    <t>2038641611031</t>
  </si>
  <si>
    <t>Шуба искусственная экошуба зимняя с капюшоном норка</t>
  </si>
  <si>
    <t>Итоговая согласованная скидка, %</t>
  </si>
  <si>
    <t>Скидка постоянного Покупателя (СПП), %</t>
  </si>
  <si>
    <t>Возмещение издержек по эквайрингу</t>
  </si>
  <si>
    <t>Общая сумма штрафов</t>
  </si>
  <si>
    <t>Виды логистики, штрафов и доплат</t>
  </si>
  <si>
    <t>Наименование банка-эквайера</t>
  </si>
  <si>
    <t>Графы Intermediat</t>
  </si>
  <si>
    <t>Графы таблицы WB</t>
  </si>
  <si>
    <t>Россия</t>
  </si>
  <si>
    <t>К клиенту при продаже</t>
  </si>
  <si>
    <t>От клиента при отмене</t>
  </si>
  <si>
    <t>К клиенту при отмене</t>
  </si>
  <si>
    <t>Хранение</t>
  </si>
  <si>
    <t>Удержания</t>
  </si>
  <si>
    <t>Платная приемка</t>
  </si>
  <si>
    <t>1</t>
  </si>
  <si>
    <t>логистика</t>
  </si>
  <si>
    <t>0</t>
  </si>
  <si>
    <t>продажа</t>
  </si>
  <si>
    <t>2039409820702</t>
  </si>
  <si>
    <t>295</t>
  </si>
  <si>
    <t>296</t>
  </si>
  <si>
    <t>2024-02-25</t>
  </si>
  <si>
    <t>2024-02-26</t>
  </si>
  <si>
    <t>2024-02-27</t>
  </si>
  <si>
    <t>2024-02-28</t>
  </si>
  <si>
    <t>8408124971745868544.0.0</t>
  </si>
  <si>
    <t>5085541902758177528.0.0</t>
  </si>
  <si>
    <t>2024-02-29</t>
  </si>
  <si>
    <t>353</t>
  </si>
  <si>
    <t>354</t>
  </si>
  <si>
    <t>2024-03-02</t>
  </si>
  <si>
    <t>752</t>
  </si>
  <si>
    <t>7706132543680232571.0.0</t>
  </si>
  <si>
    <t>753</t>
  </si>
  <si>
    <t>2024-03-03</t>
  </si>
  <si>
    <t>934</t>
  </si>
  <si>
    <t>8812659958756982829.0.0</t>
  </si>
  <si>
    <t>935</t>
  </si>
  <si>
    <t>2024-02-23</t>
  </si>
  <si>
    <t>Итого к оплате</t>
  </si>
  <si>
    <t>Справочно поартикульно:</t>
  </si>
  <si>
    <t xml:space="preserve">Хранение </t>
  </si>
  <si>
    <t>Проч. удержания</t>
  </si>
  <si>
    <t xml:space="preserve">Платная приемка </t>
  </si>
  <si>
    <t xml:space="preserve"> Себес-ть реализации</t>
  </si>
  <si>
    <t>Хранение, руб.</t>
  </si>
  <si>
    <t>Платная приемка, руб.</t>
  </si>
  <si>
    <t>Юбка02/whitepug/рем</t>
  </si>
  <si>
    <t xml:space="preserve">ушло, в руб. </t>
  </si>
  <si>
    <t>продажи,шт.</t>
  </si>
  <si>
    <t>пришло, в руб.</t>
  </si>
  <si>
    <t>Проч.удержания, руб.</t>
  </si>
  <si>
    <t xml:space="preserve">Проч.удержания, руб. </t>
  </si>
  <si>
    <t>2024-03-11</t>
  </si>
  <si>
    <t>8271793315931611027.15.0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</si>
</sst>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-* #,##0\ &quot;₽&quot;_-;\-* #,##0\ &quot;₽&quot;_-;_-* &quot;-&quot;\ &quot;₽&quot;_-;_-@_-"/>
    <numFmt numFmtId="44" formatCode="_-* #,##0.00\ &quot;₽&quot;_-;\-* #,##0.00\ &quot;₽&quot;_-;_-* &quot;-&quot;??\ &quot;₽&quot;_-;_-@_-"/>
  </numFmts>
  <fonts count="18" x14ac:knownFonts="1">
    <font>
      <sz val="11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sz val="22"/>
      <color theme="1" tint="0.499984740745262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1"/>
      <color rgb="FF000000"/>
      <name val="Calibri"/>
      <family val="2"/>
    </font>
    <font>
      <sz val="10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12"/>
      <color theme="0"/>
      <name val="Calibri"/>
      <family val="2"/>
      <charset val="204"/>
      <scheme val="minor"/>
    </font>
    <font>
      <b/>
      <sz val="11"/>
      <color theme="0"/>
      <name val="Calibri"/>
      <family val="2"/>
      <scheme val="minor"/>
    </font>
    <font>
      <i/>
      <sz val="16"/>
      <color theme="1" tint="0.499984740745262"/>
      <name val="Calibri"/>
      <family val="2"/>
      <charset val="204"/>
      <scheme val="minor"/>
    </font>
    <font>
      <sz val="18"/>
      <color theme="1" tint="0.499984740745262"/>
      <name val="Calibri"/>
      <family val="2"/>
      <charset val="204"/>
      <scheme val="minor"/>
    </font>
    <font>
      <b/>
      <sz val="14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7E005D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512373"/>
        <bgColor indexed="64"/>
      </patternFill>
    </fill>
    <fill>
      <patternFill patternType="solid">
        <fgColor rgb="FFFF0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45">
    <xf numFmtId="0" fontId="0" fillId="0" borderId="0" xfId="0"/>
    <xf numFmtId="0" fontId="2" fillId="0" borderId="0" xfId="0" applyFont="1" applyAlignment="1">
      <alignment horizontal="center" vertical="center" wrapText="1"/>
    </xf>
    <xf numFmtId="44" fontId="0" fillId="0" borderId="0" xfId="0" applyNumberFormat="1"/>
    <xf numFmtId="9" fontId="0" fillId="0" borderId="0" xfId="0" applyNumberFormat="1"/>
    <xf numFmtId="0" fontId="0" fillId="0" borderId="0" xfId="0" applyAlignment="1" applyProtection="1">
      <alignment horizontal="center" wrapText="1"/>
      <protection locked="0"/>
    </xf>
    <xf numFmtId="0" fontId="0" fillId="0" borderId="0" xfId="0" applyProtection="1">
      <protection locked="0"/>
    </xf>
    <xf numFmtId="0" fontId="0" fillId="0" borderId="0" xfId="0" applyProtection="1">
      <protection hidden="1"/>
    </xf>
    <xf numFmtId="42" fontId="0" fillId="0" borderId="0" xfId="0" applyNumberFormat="1"/>
    <xf numFmtId="0" fontId="0" fillId="3" borderId="0" xfId="0" applyFill="1" applyProtection="1">
      <protection locked="0"/>
    </xf>
    <xf numFmtId="0" fontId="5" fillId="3" borderId="0" xfId="0" quotePrefix="1" applyFont="1" applyFill="1" applyAlignment="1" applyProtection="1">
      <alignment horizontal="center" vertical="center"/>
      <protection locked="0"/>
    </xf>
    <xf numFmtId="44" fontId="4" fillId="0" borderId="1" xfId="0" applyNumberFormat="1" applyFont="1" applyBorder="1" applyProtection="1">
      <protection hidden="1"/>
    </xf>
    <xf numFmtId="0" fontId="4" fillId="3" borderId="0" xfId="0" applyFont="1" applyFill="1" applyProtection="1">
      <protection locked="0"/>
    </xf>
    <xf numFmtId="44" fontId="4" fillId="0" borderId="1" xfId="0" applyNumberFormat="1" applyFont="1" applyBorder="1" applyProtection="1">
      <protection locked="0"/>
    </xf>
    <xf numFmtId="10" fontId="4" fillId="0" borderId="1" xfId="0" applyNumberFormat="1" applyFont="1" applyBorder="1" applyProtection="1">
      <protection hidden="1"/>
    </xf>
    <xf numFmtId="0" fontId="2" fillId="0" borderId="0" xfId="0" pivotButton="1" applyFont="1" applyAlignment="1">
      <alignment horizontal="center" vertical="center"/>
    </xf>
    <xf numFmtId="0" fontId="2" fillId="0" borderId="0" xfId="0" pivotButton="1" applyFont="1" applyAlignment="1">
      <alignment horizontal="center" vertical="center" wrapText="1"/>
    </xf>
    <xf numFmtId="3" fontId="0" fillId="0" borderId="0" xfId="0" applyNumberFormat="1"/>
    <xf numFmtId="0" fontId="0" fillId="3" borderId="0" xfId="0" applyFill="1"/>
    <xf numFmtId="0" fontId="2" fillId="3" borderId="0" xfId="0" applyFont="1" applyFill="1" applyAlignment="1">
      <alignment horizontal="center" vertical="center" wrapText="1"/>
    </xf>
    <xf numFmtId="0" fontId="0" fillId="4" borderId="0" xfId="0" applyFill="1"/>
    <xf numFmtId="44" fontId="0" fillId="4" borderId="0" xfId="0" applyNumberFormat="1" applyFill="1"/>
    <xf numFmtId="0" fontId="6" fillId="2" borderId="0" xfId="0" applyFont="1" applyFill="1" applyAlignment="1">
      <alignment vertical="center"/>
    </xf>
    <xf numFmtId="0" fontId="8" fillId="2" borderId="1" xfId="0" applyFont="1" applyFill="1" applyBorder="1" applyAlignment="1" applyProtection="1">
      <alignment horizontal="center"/>
      <protection locked="0"/>
    </xf>
    <xf numFmtId="0" fontId="10" fillId="0" borderId="0" xfId="0" applyFont="1" applyAlignment="1" applyProtection="1">
      <alignment horizontal="center" wrapText="1"/>
      <protection locked="0"/>
    </xf>
    <xf numFmtId="0" fontId="8" fillId="2" borderId="1" xfId="0" applyFont="1" applyFill="1" applyBorder="1" applyAlignment="1">
      <alignment horizontal="center"/>
    </xf>
    <xf numFmtId="0" fontId="13" fillId="5" borderId="0" xfId="0" applyFont="1" applyFill="1" applyAlignment="1" applyProtection="1">
      <alignment horizontal="center" vertical="top" wrapText="1"/>
      <protection locked="0"/>
    </xf>
    <xf numFmtId="0" fontId="5" fillId="3" borderId="3" xfId="0" quotePrefix="1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wrapText="1"/>
    </xf>
    <xf numFmtId="0" fontId="3" fillId="6" borderId="2" xfId="0" applyFont="1" applyFill="1" applyBorder="1" applyAlignment="1">
      <alignment horizontal="right"/>
    </xf>
    <xf numFmtId="0" fontId="3" fillId="7" borderId="2" xfId="0" applyFont="1" applyFill="1" applyBorder="1" applyAlignment="1">
      <alignment horizontal="right" vertical="center"/>
    </xf>
    <xf numFmtId="0" fontId="14" fillId="2" borderId="1" xfId="0" applyFont="1" applyFill="1" applyBorder="1" applyAlignment="1">
      <alignment vertical="center"/>
    </xf>
    <xf numFmtId="0" fontId="14" fillId="2" borderId="1" xfId="0" applyFont="1" applyFill="1" applyBorder="1" applyAlignment="1">
      <alignment vertical="center" wrapText="1"/>
    </xf>
    <xf numFmtId="44" fontId="4" fillId="0" borderId="4" xfId="0" applyNumberFormat="1" applyFont="1" applyBorder="1" applyProtection="1">
      <protection hidden="1"/>
    </xf>
    <xf numFmtId="0" fontId="15" fillId="3" borderId="5" xfId="0" applyFont="1" applyFill="1" applyBorder="1" applyAlignment="1" applyProtection="1">
      <alignment horizontal="center"/>
      <protection locked="0"/>
    </xf>
    <xf numFmtId="44" fontId="16" fillId="3" borderId="5" xfId="0" applyNumberFormat="1" applyFont="1" applyFill="1" applyBorder="1" applyProtection="1">
      <protection hidden="1"/>
    </xf>
    <xf numFmtId="4" fontId="0" fillId="3" borderId="0" xfId="0" applyNumberFormat="1" applyFill="1"/>
    <xf numFmtId="4" fontId="0" fillId="3" borderId="1" xfId="0" applyNumberFormat="1" applyFill="1" applyBorder="1"/>
    <xf numFmtId="3" fontId="0" fillId="3" borderId="0" xfId="0" applyNumberFormat="1" applyFill="1"/>
    <xf numFmtId="1" fontId="0" fillId="0" borderId="0" xfId="0" applyNumberFormat="1" applyProtection="1">
      <protection hidden="1"/>
    </xf>
    <xf numFmtId="0" fontId="1" fillId="8" borderId="1" xfId="0" applyFont="1" applyFill="1" applyBorder="1" applyAlignment="1" applyProtection="1">
      <alignment horizontal="center" vertical="center" wrapText="1"/>
      <protection hidden="1"/>
    </xf>
    <xf numFmtId="0" fontId="11" fillId="0" borderId="1" xfId="0" applyFont="1" applyBorder="1" applyAlignment="1">
      <alignment horizontal="center" vertical="center"/>
    </xf>
    <xf numFmtId="0" fontId="9" fillId="9" borderId="1" xfId="0" applyFont="1" applyFill="1" applyBorder="1" applyAlignment="1" applyProtection="1">
      <alignment horizontal="center" wrapText="1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3" borderId="1" xfId="0" applyFill="1" applyBorder="1" applyAlignment="1">
      <alignment horizontal="right"/>
    </xf>
    <xf numFmtId="0" fontId="0" fillId="0" borderId="1" xfId="0" applyBorder="1" applyAlignment="1">
      <alignment horizontal="right"/>
    </xf>
  </cellXfs>
  <cellStyles count="1">
    <cellStyle name="Обычный" xfId="0" builtinId="0"/>
  </cellStyles>
  <dxfs count="111">
    <dxf>
      <numFmt numFmtId="34" formatCode="_-* #,##0.00\ &quot;₽&quot;_-;\-* #,##0.00\ &quot;₽&quot;_-;_-* &quot;-&quot;??\ &quot;₽&quot;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numFmt numFmtId="1" formatCode="0"/>
      <protection locked="1" hidden="1"/>
    </dxf>
    <dxf>
      <numFmt numFmtId="1" formatCode="0"/>
      <protection locked="1" hidden="1"/>
    </dxf>
    <dxf>
      <numFmt numFmtId="1" formatCode="0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font>
        <color rgb="FF000000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rgb="FF000000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rgb="FF000000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rgb="FF000000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rgb="FF000000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rgb="FF000000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rgb="FF000000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rgb="FF000000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rgb="FF000000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rgb="FF000000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rgb="FF000000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rgb="FF000000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rgb="FF000000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rgb="FF000000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rgb="FF000000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rgb="FF000000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rgb="FF000000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rgb="FF000000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rgb="FF000000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rgb="FF000000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rgb="FF000000"/>
      </font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rgb="FF000000"/>
      </font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rgb="FF000000"/>
      </font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rgb="FF000000"/>
      </font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rgb="FF000000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rgb="FF000000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rgb="FF000000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rgb="FF000000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rgb="FF000000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rgb="FF000000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rgb="FF000000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rgb="FF000000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rgb="FF000000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rgb="FF000000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rgb="FF000000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rgb="FF000000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rgb="FF000000"/>
      </font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rgb="FF000000"/>
      </font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rgb="FF000000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rgb="FF000000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rgb="FF000000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rgb="FF000000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rgb="FF000000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rgb="FF000000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rgb="FF000000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rgb="FF000000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rgb="FF000000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rgb="FF000000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rgb="FF000000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scheme val="minor"/>
      </font>
      <fill>
        <patternFill patternType="solid">
          <fgColor indexed="64"/>
          <bgColor rgb="FF7030A0"/>
        </patternFill>
      </fill>
      <alignment horizontal="center" vertical="center" textRotation="0" wrapText="1" indent="0" justifyLastLine="0" shrinkToFit="0" readingOrder="0"/>
      <protection locked="0" hidden="0"/>
    </dxf>
    <dxf>
      <numFmt numFmtId="3" formatCode="#,##0"/>
    </dxf>
    <dxf>
      <numFmt numFmtId="4" formatCode="#,##0.00"/>
    </dxf>
    <dxf>
      <font>
        <sz val="8"/>
      </font>
      <alignment horizontal="center" vertical="center" wrapText="1" readingOrder="0"/>
    </dxf>
    <dxf>
      <numFmt numFmtId="3" formatCode="#,##0"/>
    </dxf>
    <dxf>
      <numFmt numFmtId="3" formatCode="#,##0"/>
    </dxf>
    <dxf>
      <numFmt numFmtId="4" formatCode="#,##0.00"/>
    </dxf>
    <dxf>
      <font>
        <sz val="8"/>
      </font>
      <alignment horizontal="center" vertical="center" wrapText="1" readingOrder="0"/>
    </dxf>
    <dxf>
      <alignment wrapText="1"/>
    </dxf>
    <dxf>
      <font>
        <sz val="8"/>
      </font>
    </dxf>
    <dxf>
      <alignment horizontal="center"/>
    </dxf>
    <dxf>
      <alignment vertical="center"/>
    </dxf>
    <dxf>
      <font>
        <sz val="8"/>
      </font>
    </dxf>
    <dxf>
      <alignment horizontal="center"/>
    </dxf>
    <dxf>
      <alignment vertical="center"/>
    </dxf>
    <dxf>
      <numFmt numFmtId="13" formatCode="0%"/>
    </dxf>
    <dxf>
      <font>
        <sz val="8"/>
      </font>
    </dxf>
    <dxf>
      <alignment wrapText="1"/>
    </dxf>
    <dxf>
      <alignment horizontal="center"/>
    </dxf>
    <dxf>
      <alignment vertical="center"/>
    </dxf>
    <dxf>
      <numFmt numFmtId="13" formatCode="0%"/>
    </dxf>
    <dxf>
      <alignment wrapText="1"/>
    </dxf>
    <dxf>
      <alignment horizontal="center"/>
    </dxf>
    <dxf>
      <alignment vertical="center"/>
    </dxf>
    <dxf>
      <font>
        <sz val="8"/>
      </font>
    </dxf>
    <dxf>
      <numFmt numFmtId="32" formatCode="_-* #,##0\ &quot;₽&quot;_-;\-* #,##0\ &quot;₽&quot;_-;_-* &quot;-&quot;\ &quot;₽&quot;_-;_-@_-"/>
    </dxf>
    <dxf>
      <numFmt numFmtId="32" formatCode="_-* #,##0\ &quot;₽&quot;_-;\-* #,##0\ &quot;₽&quot;_-;_-* &quot;-&quot;\ &quot;₽&quot;_-;_-@_-"/>
    </dxf>
    <dxf>
      <numFmt numFmtId="32" formatCode="_-* #,##0\ &quot;₽&quot;_-;\-* #,##0\ &quot;₽&quot;_-;_-* &quot;-&quot;\ &quot;₽&quot;_-;_-@_-"/>
    </dxf>
    <dxf>
      <numFmt numFmtId="32" formatCode="_-* #,##0\ &quot;₽&quot;_-;\-* #,##0\ &quot;₽&quot;_-;_-* &quot;-&quot;\ &quot;₽&quot;_-;_-@_-"/>
    </dxf>
    <dxf>
      <numFmt numFmtId="32" formatCode="_-* #,##0\ &quot;₽&quot;_-;\-* #,##0\ &quot;₽&quot;_-;_-* &quot;-&quot;\ &quot;₽&quot;_-;_-@_-"/>
    </dxf>
    <dxf>
      <numFmt numFmtId="32" formatCode="_-* #,##0\ &quot;₽&quot;_-;\-* #,##0\ &quot;₽&quot;_-;_-* &quot;-&quot;\ &quot;₽&quot;_-;_-@_-"/>
    </dxf>
    <dxf>
      <numFmt numFmtId="3" formatCode="#,##0"/>
    </dxf>
    <dxf>
      <numFmt numFmtId="3" formatCode="#,##0"/>
    </dxf>
    <dxf>
      <numFmt numFmtId="3" formatCode="#,##0"/>
    </dxf>
    <dxf>
      <alignment wrapText="1"/>
    </dxf>
    <dxf>
      <alignment wrapText="1"/>
    </dxf>
    <dxf>
      <font>
        <sz val="8"/>
      </font>
    </dxf>
    <dxf>
      <font>
        <sz val="8"/>
      </font>
    </dxf>
    <dxf>
      <alignment horizontal="center"/>
    </dxf>
    <dxf>
      <alignment horizontal="center"/>
    </dxf>
    <dxf>
      <alignment vertical="center"/>
    </dxf>
    <dxf>
      <alignment vertical="center"/>
    </dxf>
    <dxf>
      <fill>
        <patternFill>
          <bgColor theme="5"/>
        </patternFill>
      </fill>
    </dxf>
  </dxfs>
  <tableStyles count="0" defaultTableStyle="TableStyleMedium2" defaultPivotStyle="PivotStyleLight16"/>
  <colors>
    <mruColors>
      <color rgb="FF512373"/>
      <color rgb="FF5F2987"/>
      <color rgb="FF7E005D"/>
      <color rgb="FF86005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07/relationships/slicerCache" Target="slicerCaches/slicerCach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488186</xdr:colOff>
      <xdr:row>3</xdr:row>
      <xdr:rowOff>51202</xdr:rowOff>
    </xdr:from>
    <xdr:to>
      <xdr:col>3</xdr:col>
      <xdr:colOff>2459861</xdr:colOff>
      <xdr:row>5</xdr:row>
      <xdr:rowOff>32152</xdr:rowOff>
    </xdr:to>
    <xdr:sp macro="[0]!_xludf.Move" textlink="">
      <xdr:nvSpPr>
        <xdr:cNvPr id="2" name="Прямоугольник: скругленные углы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011730" y="2092848"/>
          <a:ext cx="1971675" cy="720443"/>
        </a:xfrm>
        <a:prstGeom prst="roundRect">
          <a:avLst/>
        </a:prstGeom>
        <a:gradFill flip="none" rotWithShape="1">
          <a:gsLst>
            <a:gs pos="0">
              <a:schemeClr val="accent6">
                <a:lumMod val="89000"/>
              </a:schemeClr>
            </a:gs>
            <a:gs pos="23000">
              <a:schemeClr val="accent6">
                <a:lumMod val="89000"/>
              </a:schemeClr>
            </a:gs>
            <a:gs pos="69000">
              <a:schemeClr val="accent6">
                <a:lumMod val="75000"/>
              </a:schemeClr>
            </a:gs>
            <a:gs pos="97000">
              <a:schemeClr val="accent6">
                <a:lumMod val="7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 i="1"/>
            <a:t>Calculate</a:t>
          </a:r>
          <a:endParaRPr lang="ru-RU" sz="1100" b="1" i="1"/>
        </a:p>
      </xdr:txBody>
    </xdr:sp>
    <xdr:clientData/>
  </xdr:twoCellAnchor>
  <xdr:twoCellAnchor editAs="oneCell">
    <xdr:from>
      <xdr:col>1</xdr:col>
      <xdr:colOff>3791121</xdr:colOff>
      <xdr:row>0</xdr:row>
      <xdr:rowOff>227411</xdr:rowOff>
    </xdr:from>
    <xdr:to>
      <xdr:col>2</xdr:col>
      <xdr:colOff>2089874</xdr:colOff>
      <xdr:row>0</xdr:row>
      <xdr:rowOff>823249</xdr:rowOff>
    </xdr:to>
    <xdr:pic>
      <xdr:nvPicPr>
        <xdr:cNvPr id="4" name="Рисунок 3" descr="Файл:Wildberries Logo.png — Википедия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64412" y="227411"/>
          <a:ext cx="2317740" cy="5958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5</xdr:col>
      <xdr:colOff>0</xdr:colOff>
      <xdr:row>9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Предмет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Предмет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62175" y="0"/>
              <a:ext cx="2486025" cy="1714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0</xdr:row>
      <xdr:rowOff>0</xdr:rowOff>
    </xdr:from>
    <xdr:to>
      <xdr:col>0</xdr:col>
      <xdr:colOff>2162174</xdr:colOff>
      <xdr:row>9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Бренд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Бренд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2162174" cy="1714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50800</xdr:colOff>
          <xdr:row>0</xdr:row>
          <xdr:rowOff>50800</xdr:rowOff>
        </xdr:from>
        <xdr:to>
          <xdr:col>11</xdr:col>
          <xdr:colOff>101600</xdr:colOff>
          <xdr:row>2</xdr:row>
          <xdr:rowOff>63500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Обновить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Даниэль Нахумов" refreshedDate="45395.775931944445" createdVersion="8" refreshedVersion="8" minRefreshableVersion="3" recordCount="1" xr:uid="{00000000-000A-0000-FFFF-FFFF26000000}">
  <cacheSource type="worksheet">
    <worksheetSource name="Details"/>
  </cacheSource>
  <cacheFields count="70">
    <cacheField name="№" numFmtId="0">
      <sharedItems/>
    </cacheField>
    <cacheField name="Номер поставки" numFmtId="0">
      <sharedItems containsSemiMixedTypes="0" containsString="0" containsNumber="1" containsInteger="1" minValue="0" maxValue="0"/>
    </cacheField>
    <cacheField name="Предмет" numFmtId="0">
      <sharedItems containsBlank="1" count="37">
        <s v="Шубы искусственные"/>
        <s v="Капоры" u="1"/>
        <m u="1"/>
        <s v="Шорты" u="1"/>
        <s v="Панамы" u="1"/>
        <s v="Зубные пасты" u="1"/>
        <s v="Пуховики" u="1"/>
        <s v="Конфеты" u="1"/>
        <s v="Костюмы спортивные" u="1"/>
        <s v="Зубные щетки" u="1"/>
        <s v="Кофты" u="1"/>
        <s v="Балаклавы" u="1"/>
        <s v="Костюмы" u="1"/>
        <s v="Платья" u="1"/>
        <s v="Декор для выпечки" u="1"/>
        <s v="Береты" u="1"/>
        <s v="Шапки" u="1"/>
        <s v="Брюки" u="1"/>
        <s v="Водолазки" u="1"/>
        <s v="Печенье эротик" u="1"/>
        <s v="Сарафаны" u="1"/>
        <s v="Пряники" u="1"/>
        <s v="Коробки картонные" u="1"/>
        <s v="Бейсболки" u="1"/>
        <s v="Кардиганы" u="1"/>
        <s v="Куртки" u="1"/>
        <s v="Футболки" u="1"/>
        <s v="Консервы мясные" u="1"/>
        <s v="Пальто" u="1"/>
        <s v="Солнцезащитные очки" u="1"/>
        <s v="Свитеры" u="1"/>
        <s v="Блузки" u="1"/>
        <s v="Джемперы" u="1"/>
        <s v="Топы" u="1"/>
        <s v="Юбки" u="1"/>
        <s v="Лонгсливы" u="1"/>
        <s v="Тренчкоты" u="1"/>
      </sharedItems>
    </cacheField>
    <cacheField name="Код номенклатуры" numFmtId="0">
      <sharedItems containsSemiMixedTypes="0" containsString="0" containsNumber="1" containsInteger="1" minValue="138176807" maxValue="138176807"/>
    </cacheField>
    <cacheField name="Бренд" numFmtId="0">
      <sharedItems containsBlank="1" count="9">
        <s v="MISHDAN"/>
        <m u="1"/>
        <s v="Accent You" u="1"/>
        <s v="CLIO" u="1"/>
        <s v="Саянские Мясные Продукты" u="1"/>
        <s v="Неопознанный Товар" u="1"/>
        <s v="FRAGMENTO" u="1"/>
        <s v="DONG Vogue" u="1"/>
        <s v="LES_PRYANIK" u="1"/>
      </sharedItems>
    </cacheField>
    <cacheField name="Артикул поставщика" numFmtId="0">
      <sharedItems containsBlank="1" count="363">
        <s v="шуба_черн"/>
        <s v="313/black002" u="1"/>
        <s v="Fiona_жемчуг" u="1"/>
        <s v="Nikki2_кремовый" u="1"/>
        <s v="платье с горлом/чер" u="1"/>
        <s v="костюм095_1/фиолетовый" u="1"/>
        <m u="1"/>
        <s v="2021082201" u="1"/>
        <s v="Janet2_флокс" u="1"/>
        <s v="лонгслив/синий" u="1"/>
        <s v="костюм222/серый" u="1"/>
        <s v="платье с горлом/бел" u="1"/>
        <s v="костюм_шорты/Зеленый" u="1"/>
        <s v="спорт_комплект/бежевый" u="1"/>
        <s v="2022012501" u="1"/>
        <s v="костюм024/графит" u="1"/>
        <s v="спорт_комплект/светло-бежевый" u="1"/>
        <s v="Велюровые_зауж/Корич" u="1"/>
        <s v="костюм трикотажный/черн" u="1"/>
        <s v="Джинсовка/Синий" u="1"/>
        <s v="Grace_лавандовый" u="1"/>
        <s v="юбка02/bejpug/рем" u="1"/>
        <s v="кофта с вырезом/чер" u="1"/>
        <s v="OchkiStuartкоричневый10_32" u="1"/>
        <s v="20230223" u="1"/>
        <s v="угол/голубой" u="1"/>
        <s v="кофта014/зеленый" u="1"/>
        <s v="кофта с вырезом/бел" u="1"/>
        <s v="OchkiOzziчерныйметал231" u="1"/>
        <s v="свитер_горло/зелен" u="1"/>
        <s v="платьеполоска/мятный" u="1"/>
        <s v="Denise2_бежево_розовый_new" u="1"/>
        <s v="William_красный" u="1"/>
        <s v="костюм_v_кор/серый" u="1"/>
        <s v="6CurvedMixedToothbrush" u="1"/>
        <s v="костюм трикотажный/роз" u="1"/>
        <s v="платьелето/5" u="1"/>
        <s v="кофта990/синий" u="1"/>
        <s v="Cecilia2_голубой" u="1"/>
        <s v="Джинсовка/Черный" u="1"/>
        <s v="кофта014/голубой" u="1"/>
        <s v="свитер_горло/беж" u="1"/>
        <s v="угол/светло-серый" u="1"/>
        <s v="acc-plat-gor-голубой" u="1"/>
        <s v="платье с горлом/син" u="1"/>
        <s v="костюм_v_кор/бежевый" u="1"/>
        <s v="кофта103/темнобежевый" u="1"/>
        <s v="кофта990/темнобежевый" u="1"/>
        <s v="юбка02/matpug/рем" u="1"/>
        <s v="20210203" u="1"/>
        <s v="Топ/Белый" u="1"/>
        <s v="2022250301" u="1"/>
        <s v="костюм_v/роз" u="1"/>
        <s v="кофта014/графит" u="1"/>
        <s v="костюм689/черный" u="1"/>
        <s v="лонгслив/бежевый" u="1"/>
        <s v="свитер_горло/бел" u="1"/>
        <s v="костюм_велюр/коричневый" u="1"/>
        <s v="спорт_комплект/молочный" u="1"/>
        <s v="шорты_ремень_классик\синий" u="1"/>
        <s v="2021072601" u="1"/>
        <s v="Pat2_белый" u="1"/>
        <s v="acc-kar-белый" u="1"/>
        <s v="кофта103/розовый" u="1"/>
        <s v="кофта с вырезом/син" u="1"/>
        <s v="Janet2_светлобежевый" u="1"/>
        <s v="Janet2_фрез" u="1"/>
        <s v="Pat2_черный" u="1"/>
        <s v="угол/мятный" u="1"/>
        <s v="кофта014/серый" u="1"/>
        <s v="2022260301" u="1"/>
        <s v="Emma2_жемчуг" u="1"/>
        <s v="пальто/кофе/01" u="1"/>
        <s v="Janet2_канарейка" u="1"/>
        <s v="костюм123/черный" u="1"/>
        <s v="2021082601" u="1"/>
        <s v=" Clio_Family" u="1"/>
        <s v="Evviмалиновый" u="1"/>
        <s v="Peggy2_черный" u="1"/>
        <s v="Montanaмолочный" u="1"/>
        <s v="костюм_v_кор/светлобежевый" u="1"/>
        <s v="Шорты_ремень_классик/черный" u="1"/>
        <s v="шуба_беж" u="1"/>
        <s v="костюм069/белый" u="1"/>
        <s v="платье с горлом/белый" u="1"/>
        <s v="black1" u="1"/>
        <s v="2022270301" u="1"/>
        <s v="Tracy_черный_best" u="1"/>
        <s v="кофта990/светлобежевый" u="1"/>
        <s v="Шорты_ремень_классик/розовый" u="1"/>
        <s v="2022180901" u="1"/>
        <s v="Olivia2белый" u="1"/>
        <s v=" William_белый" u="1"/>
        <s v="кофта014/желтый" u="1"/>
        <s v="футболка_passion/серый" u="1"/>
        <s v="шуба_корич" u="1"/>
        <s v="костюм_v/беж" u="1"/>
        <s v="пальто/мятный/01" u="1"/>
        <s v="777/blackSH" u="1"/>
        <s v="платьелето/2" u="1"/>
        <s v="Тренч/розовый" u="1"/>
        <s v="Шорты_ремень_треугольник/фуксия" u="1"/>
        <s v="2021082602" u="1"/>
        <s v="20022181301" u="1"/>
        <s v="313/leopard" u="1"/>
        <s v="угол/желтый" u="1"/>
        <s v="костюм_v/бел" u="1"/>
        <s v="лонгслив/фуксия" u="1"/>
        <s v="Becky_new_черный" u="1"/>
        <s v="кофта103/голубой" u="1"/>
        <s v="Denise2_кремовый_new" u="1"/>
        <s v="костюм095_2/молочный" u="1"/>
        <s v="Тренч/хаки" u="1"/>
        <s v="CLIODeepPlus" u="1"/>
        <s v="платьелето/7" u="1"/>
        <s v="костюм_шорты/мятный" u="1"/>
        <s v="костюм_велюр/голубой" u="1"/>
        <s v="спорт_комплект/черный" u="1"/>
        <s v="лонгслив/белый" u="1"/>
        <s v="джемпер_полоска" u="1"/>
        <s v="костюм_v_кор/белый" u="1"/>
        <s v="OchkiSimonчерный18_91" u="1"/>
        <s v="костюм024/светлобежевый" u="1"/>
        <s v="костюм077/светлобежевый" u="1"/>
        <s v="2021301101" u="1"/>
        <s v="2022180902" u="1"/>
        <s v="угол/бежевый" u="1"/>
        <s v="лонгслив/черный" u="1"/>
        <s v="костюм_v_кор/зеленый" u="1"/>
        <s v="OchkiStuartчерный9_31" u="1"/>
        <s v="Becky_new_небесноголубой" u="1"/>
        <s v="лонгслив/капучино" u="1"/>
        <s v="Юбка11/зеленыйгорох" u="1"/>
        <s v="Шорты_резинка/черный" u="1"/>
        <s v="Шорты_резинка\светло-серый" u="1"/>
        <s v="20221031" u="1"/>
        <s v="20022181601" u="1"/>
        <s v="костюм060/бежевый" u="1"/>
        <s v="Шорты/Полоска_синяя" u="1"/>
        <s v="платьеполоска/голубой" u="1"/>
        <s v="Esterсиний" u="1"/>
        <s v="313/black001" u="1"/>
        <s v="Becky_new_какао" u="1"/>
        <s v="Candy_черный_new" u="1"/>
        <s v="футболка_полос_синий" u="1"/>
        <s v="Шорты_резинка/фиолетовый" u="1"/>
        <s v="20231701" u="1"/>
        <s v="2021100201" u="1"/>
        <s v="Fiona_черный" u="1"/>
        <s v="кофта990/фуксия" u="1"/>
        <s v="юбка02/greenpug" u="1"/>
        <s v="пальто/белаякость/01" u="1"/>
        <s v="Брюки01/темнобежевыебрюки" u="1"/>
        <s v="Шорты_ремень_треугольник/графит" u="1"/>
        <s v="2021040402" u="1"/>
        <s v="2021082501" u="1"/>
        <s v="юбка02/matpug" u="1"/>
        <s v="пальто/голубой/01" u="1"/>
        <s v="Janet2_мята" u="1"/>
        <s v="Janet2_белый" u="1"/>
        <s v="кофта990/белый" u="1"/>
        <s v="платье с горлом/сер" u="1"/>
        <s v="футболка_полос_черный" u="1"/>
        <s v="кофта103/желтый" u="1"/>
        <s v="костюм123/бежевый" u="1"/>
        <s v="2021110701" u="1"/>
        <s v="Janet2_полынь" u="1"/>
        <s v="пальто/black/01" u="1"/>
        <s v="Неопознанный товар" u="1"/>
        <s v="сивтер_горло/сирен" u="1"/>
        <s v="свитер_горло/коричн" u="1"/>
        <s v="Evviсиний" u="1"/>
        <s v="Блузка/Синий" u="1"/>
        <s v="Olivia2голубой" u="1"/>
        <s v="СМПТУГОСТВС338" u="1"/>
        <s v="Шорты_резинка\фуксия" u="1"/>
        <s v="2021100202" u="1"/>
        <s v="2022041301" u="1"/>
        <s v="2022280201" u="1"/>
        <s v="костюм123/розовый" u="1"/>
        <s v="свитер_горло/черн" u="1"/>
        <s v="кофта с вырезом/сер" u="1"/>
        <s v="костюм трикотажный/кап" u="1"/>
        <s v="20210101" u="1"/>
        <s v="2021040403" u="1"/>
        <s v="платьелето/4" u="1"/>
        <s v="юбка02/bejpug" u="1"/>
        <s v="костюм024/темнобежевый" u="1"/>
        <s v="Шорты_ремень_классик/графит" u="1"/>
        <s v="2022100601" u="1"/>
        <s v="2022240101" u="1"/>
        <s v="Fiona_вишневый" u="1"/>
        <s v="Evviзеленый" u="1"/>
        <s v="313/white002" u="1"/>
        <s v="платье_v\белый" u="1"/>
        <s v="accent-косткоричневый" u="1"/>
        <s v="20210201" u="1"/>
        <s v="2021110702" u="1"/>
        <s v="угол/зеленый" u="1"/>
        <s v="20211025_0101" u="1"/>
        <s v="платье_V\черный" u="1"/>
        <s v="костюм026/мятный" u="1"/>
        <s v="кофта014/ментоловый" u="1"/>
        <s v="кофта103/ментоловый" u="1"/>
        <s v="кофта990/ментоловый" u="1"/>
        <s v="платьеполоска/черный" u="1"/>
        <s v="Becky_new_серыймеланж" u="1"/>
        <s v="Grace_малиновый" u="1"/>
        <s v="лонгслив/зеленый" u="1"/>
        <s v="Fiona_светлосерый" u="1"/>
        <s v="костюм026/розовый" u="1"/>
        <s v="Tracy_голубой_best" u="1"/>
        <s v="Шорты_ремень_классик\светло-серый" u="1"/>
        <s v="2022280202" u="1"/>
        <s v="угол/белый" u="1"/>
        <s v="Тренч/черный" u="1"/>
        <s v="Montanaмятный" u="1"/>
        <s v="джемпер_полоска/роз" u="1"/>
        <s v="платье с горлом/зел" u="1"/>
        <s v="угол/черный" u="1"/>
        <s v="джемпер_полоска/беж" u="1"/>
        <s v="костюм_велюр/черный" u="1"/>
        <s v="платье с горлом/мята" u="1"/>
        <s v="футболка_полос_зеленый" u="1"/>
        <s v="2021100101" u="1"/>
        <s v="2022100602" u="1"/>
        <s v="2022240102" u="1"/>
        <s v="лонгслив/голубой" u="1"/>
        <s v="кофта с вырезом/борд" u="1"/>
        <s v="Шорты/полоска_черная" u="1"/>
        <s v="2021082401" u="1"/>
        <s v="20022181201" u="1"/>
        <s v="Emma2_черный" u="1"/>
        <s v="Denise2_черный_new" u="1"/>
        <s v="костюм026/молочный" u="1"/>
        <s v="юбка02/blackpug/рем" u="1"/>
        <s v="Шорты_ремень_треугольник\светло-серый" u="1"/>
        <s v="2022040201" u="1"/>
        <s v="Nikki2_шоколад" u="1"/>
        <s v="Becky_new_кремовый" u="1"/>
        <s v="кофта с вырезом/зел" u="1"/>
        <s v="кофта с вырезом/красн" u="1"/>
        <s v="2021042301" u="1"/>
        <s v="2022270101" u="1"/>
        <s v="костюм_v/черн" u="1"/>
        <s v="костюм123/серый" u="1"/>
        <s v="костюм222/графит" u="1"/>
        <s v="Nikki2_черный" u="1"/>
        <s v="юбка02/greenpug/рем" u="1"/>
        <s v="2ClioIcePeach_DeepPlus" u="1"/>
        <s v="Becky_new_розовыйпепел" u="1"/>
        <s v="2021070801" u="1"/>
        <s v="20220040601" u="1"/>
        <s v="шуба_шоколад" u="1"/>
        <s v="Юбкасремнем/мята" u="1"/>
        <s v="костюм_v/сер" u="1"/>
        <s v="платьелето/1" u="1"/>
        <s v="accent-костсерый" u="1"/>
        <s v="костюм_v_кор/синий" u="1"/>
        <s v="Брюки01/горчичныебрюки" u="1"/>
        <s v="Fiona_шоколад1" u="1"/>
        <s v="Esterлавандовый" u="1"/>
        <s v="платье_V\капучино" u="1"/>
        <s v="Велюровые_зауж/черный" u="1"/>
        <s v="джемпер_полоска/синий" u="1"/>
        <s v="платьелето/6" u="1"/>
        <s v="Janet2_терракот" u="1"/>
        <s v="костюм трикотажный/зел" u="1"/>
        <s v="2021062301" u="1"/>
        <s v="Olivia2малиновый" u="1"/>
        <s v="Fiona_темнобежевый" u="1"/>
        <s v="платье с горлом/капуч" u="1"/>
        <s v="20211024_0101" u="1"/>
        <s v="HipHop2_черный" u="1"/>
        <s v="угол/кофейный " u="1"/>
        <s v="Olivia2лавандовый" u="1"/>
        <s v="футболка_полос_коричневый" u="1"/>
        <s v="Шорты_ремень_треугольник\черный" u="1"/>
        <s v="20210205" u="1"/>
        <s v="20220811" u="1"/>
        <s v="Janet2_ангора" u="1"/>
        <s v="OchkiOzziчерный9_31" u="1"/>
        <s v="спорт_комплект/ментол" u="1"/>
        <s v="спорт_комплект/сиреневый " u="1"/>
        <s v="OliverH100-500светлорозовый" u="1"/>
        <s v="Janet2_черный" u="1"/>
        <s v="тренч/бежевый" u="1"/>
        <s v="кофта990/розовый" u="1"/>
        <s v="20221129" u="1"/>
        <s v="2021072801" u="1"/>
        <s v="Топ/Бежевый" u="1"/>
        <s v="Janet2_кармин" u="1"/>
        <s v="костюм_V_кор/черный" u="1"/>
        <s v="водзамчер" u="1"/>
        <s v="костюм222/розовый" u="1"/>
        <s v="кофта014/оранжевый" u="1"/>
        <s v="кофта103/оранжевый" u="1"/>
        <s v="кофта990/оранжевый" u="1"/>
        <s v="20230214" u="1"/>
        <s v="2021062302" u="1"/>
        <s v="2021082301" u="1"/>
        <s v="кофта990/серый" u="1"/>
        <s v="костюм222/зеленый" u="1"/>
        <s v="Юбка11/белыйгорох" u="1"/>
        <s v="футболка_passion/черный" u="1"/>
        <s v="2022040101" u="1"/>
        <s v="Блузка/Розовый" u="1"/>
        <s v="140301" u="1"/>
        <s v="2021042201" u="1"/>
        <s v="2022180101" u="1"/>
        <s v="ClioIcePeachMint" u="1"/>
        <s v="Nikki2_бирюзовый" u="1"/>
        <s v="костюм095_1/синий" u="1"/>
        <s v="платье_V\горчичный" u="1"/>
        <s v="Велюровые_зауж/Зеленые" u="1"/>
        <s v="William_розовый" u="1"/>
        <s v="Шорты_ремень_треугольник/фиолетовый" u="1"/>
        <s v="2021072802" u="1"/>
        <s v="2021092801" u="1"/>
        <s v="юбка02/blackpug" u="1"/>
        <s v="кофта103/бежевый" u="1"/>
        <s v="2022190101" u="1"/>
        <s v="Топ/Черный" u="1"/>
        <s v="костюм689/серый" u="1"/>
        <s v="кофта990/желтый" u="1"/>
        <s v="пальто/кэмал/01" u="1"/>
        <s v="свитер_горло/роз" u="1"/>
        <s v="кофта014/фиолетовый" u="1"/>
        <s v="кофта990/фиолетовый" u="1"/>
        <s v="Шорты_ремень_треугольник/розовый" u="1"/>
        <s v="платьелето/3" u="1"/>
        <s v="кофта990/голубой" u="1"/>
        <s v="костюм_шорты/Черный" u="1"/>
        <s v="юбка02/whitepug/рем" u="1"/>
        <s v="Шорты_ремень_классик\фуксия" u="1"/>
        <s v="Stella_зеленый" u="1"/>
        <s v="acc-plat-gor-темно-зеленый" u="1"/>
        <s v="313/white001" u="1"/>
        <s v="юбка02/whitepug" u="1"/>
        <s v="Tracy_изумрудный_best" u="1"/>
        <s v="футболка_passion/белый" u="1"/>
        <s v="313/white777" u="1"/>
        <s v="футболка_passion/горчичный" u="1"/>
        <s v="20210204" u="1"/>
        <s v="2021092802" u="1"/>
        <s v="2022033101" u="1"/>
        <s v="костюм_шорты/Белый" u="1"/>
        <s v="костюм095_1/бежевый" u="1"/>
        <s v="Шорты_резинка\графит" u="1"/>
        <s v="Шорты_резинка/розовый" u="1"/>
        <s v="20230208" u="1"/>
        <s v="202212_01" u="1"/>
        <s v="Emma2_молоко" u="1"/>
        <s v="сарафан_джинс" u="1"/>
        <s v="Esterизумрудный" u="1"/>
        <s v="кофта103/фуксия" u="1"/>
        <s v="свитер_горло/син" u="1"/>
        <s v="спорт_комплект/серый" u="1"/>
        <s v="джемпер_полоска/зелен" u="1"/>
        <s v="20220725" u="1"/>
        <s v="Janet2_маренго" u="1"/>
        <s v="Sherry2голубой" u="1"/>
        <s v="кофта014/розовый" u="1"/>
      </sharedItems>
    </cacheField>
    <cacheField name="Название" numFmtId="0">
      <sharedItems/>
    </cacheField>
    <cacheField name="Размер" numFmtId="0">
      <sharedItems containsMixedTypes="1" containsNumber="1" containsInteger="1" minValue="42" maxValue="48" count="5">
        <s v="XXL"/>
        <n v="42" u="1"/>
        <n v="44" u="1"/>
        <n v="46" u="1"/>
        <n v="48" u="1"/>
      </sharedItems>
    </cacheField>
    <cacheField name="Баркод" numFmtId="0">
      <sharedItems/>
    </cacheField>
    <cacheField name="Тип документа" numFmtId="0">
      <sharedItems containsNonDate="0" containsString="0" containsBlank="1"/>
    </cacheField>
    <cacheField name="Обоснование для оплаты" numFmtId="0">
      <sharedItems/>
    </cacheField>
    <cacheField name="Дата заказа покупателем" numFmtId="0">
      <sharedItems/>
    </cacheField>
    <cacheField name="Дата продажи" numFmtId="0">
      <sharedItems/>
    </cacheField>
    <cacheField name="Кол-во" numFmtId="0">
      <sharedItems containsSemiMixedTypes="0" containsString="0" containsNumber="1" containsInteger="1" minValue="0" maxValue="0"/>
    </cacheField>
    <cacheField name="Цена розничная" numFmtId="0">
      <sharedItems containsSemiMixedTypes="0" containsString="0" containsNumber="1" containsInteger="1" minValue="0" maxValue="0"/>
    </cacheField>
    <cacheField name="Вайлдберриз реализовал Товар (Пр)" numFmtId="0">
      <sharedItems containsSemiMixedTypes="0" containsString="0" containsNumber="1" containsInteger="1" minValue="0" maxValue="0"/>
    </cacheField>
    <cacheField name="Согласованный продуктовый дисконт, %" numFmtId="0">
      <sharedItems containsSemiMixedTypes="0" containsString="0" containsNumber="1" containsInteger="1" minValue="0" maxValue="0"/>
    </cacheField>
    <cacheField name="Промокод %" numFmtId="0">
      <sharedItems containsNonDate="0" containsString="0" containsBlank="1"/>
    </cacheField>
    <cacheField name="Итоговая согласованная скидка, %" numFmtId="0">
      <sharedItems containsSemiMixedTypes="0" containsString="0" containsNumber="1" containsInteger="1" minValue="0" maxValue="0"/>
    </cacheField>
    <cacheField name="Цена розничная с учетом согласованной скидки" numFmtId="0">
      <sharedItems containsSemiMixedTypes="0" containsString="0" containsNumber="1" containsInteger="1" minValue="0" maxValue="0"/>
    </cacheField>
    <cacheField name="Скидка постоянного Покупателя (СПП), %" numFmtId="0">
      <sharedItems containsSemiMixedTypes="0" containsString="0" containsNumber="1" containsInteger="1" minValue="0" maxValue="0"/>
    </cacheField>
    <cacheField name="Размер кВВ, %" numFmtId="0">
      <sharedItems containsSemiMixedTypes="0" containsString="0" containsNumber="1" containsInteger="1" minValue="0" maxValue="0"/>
    </cacheField>
    <cacheField name="Размер  кВВ без НДС, % Базовый" numFmtId="0">
      <sharedItems containsSemiMixedTypes="0" containsString="0" containsNumber="1" containsInteger="1" minValue="0" maxValue="0"/>
    </cacheField>
    <cacheField name="Итоговый кВВ без НДС, %" numFmtId="0">
      <sharedItems containsSemiMixedTypes="0" containsString="0" containsNumber="1" containsInteger="1" minValue="0" maxValue="0"/>
    </cacheField>
    <cacheField name="Вознаграждение с продаж до вычета услуг поверенного, без НДС" numFmtId="0">
      <sharedItems containsSemiMixedTypes="0" containsString="0" containsNumber="1" containsInteger="1" minValue="0" maxValue="0"/>
    </cacheField>
    <cacheField name="Возмещение за выдачу и возврат товаров на ПВЗ" numFmtId="0">
      <sharedItems containsSemiMixedTypes="0" containsString="0" containsNumber="1" containsInteger="1" minValue="0" maxValue="0"/>
    </cacheField>
    <cacheField name="Возмещение издержек по эквайрингу" numFmtId="0">
      <sharedItems containsSemiMixedTypes="0" containsString="0" containsNumber="1" containsInteger="1" minValue="0" maxValue="0"/>
    </cacheField>
    <cacheField name="Вознаграждение Вайлдберриз (ВВ), без НДС" numFmtId="0">
      <sharedItems containsSemiMixedTypes="0" containsString="0" containsNumber="1" containsInteger="1" minValue="0" maxValue="0"/>
    </cacheField>
    <cacheField name="НДС с Вознаграждения Вайлдберриз" numFmtId="0">
      <sharedItems containsSemiMixedTypes="0" containsString="0" containsNumber="1" containsInteger="1" minValue="0" maxValue="0"/>
    </cacheField>
    <cacheField name="К перечислению Продавцу за реализованный Товар" numFmtId="0">
      <sharedItems containsSemiMixedTypes="0" containsString="0" containsNumber="1" containsInteger="1" minValue="0" maxValue="0"/>
    </cacheField>
    <cacheField name="Количество доставок" numFmtId="0">
      <sharedItems containsSemiMixedTypes="0" containsString="0" containsNumber="1" containsInteger="1" minValue="1" maxValue="1"/>
    </cacheField>
    <cacheField name="Количество возврата" numFmtId="0">
      <sharedItems containsSemiMixedTypes="0" containsString="0" containsNumber="1" containsInteger="1" minValue="0" maxValue="0"/>
    </cacheField>
    <cacheField name="Услуги по доставке товара покупателю" numFmtId="0">
      <sharedItems containsSemiMixedTypes="0" containsString="0" containsNumber="1" containsInteger="1" minValue="186" maxValue="186"/>
    </cacheField>
    <cacheField name="Общая сумма штрафов" numFmtId="0">
      <sharedItems containsSemiMixedTypes="0" containsString="0" containsNumber="1" containsInteger="1" minValue="0" maxValue="0"/>
    </cacheField>
    <cacheField name="Доплаты" numFmtId="0">
      <sharedItems containsSemiMixedTypes="0" containsString="0" containsNumber="1" containsInteger="1" minValue="0" maxValue="0"/>
    </cacheField>
    <cacheField name="Виды логистики, штрафов и доплат" numFmtId="0">
      <sharedItems/>
    </cacheField>
    <cacheField name="Стикер МП" numFmtId="0">
      <sharedItems/>
    </cacheField>
    <cacheField name="Наименование банка-эквайера" numFmtId="0">
      <sharedItems containsNonDate="0" containsString="0" containsBlank="1"/>
    </cacheField>
    <cacheField name="Номер офиса" numFmtId="0">
      <sharedItems containsSemiMixedTypes="0" containsString="0" containsNumber="1" containsInteger="1" minValue="153808" maxValue="153808"/>
    </cacheField>
    <cacheField name="Наименование офиса доставки" numFmtId="0">
      <sharedItems containsNonDate="0" containsString="0" containsBlank="1"/>
    </cacheField>
    <cacheField name="ИНН партнера" numFmtId="0">
      <sharedItems containsNonDate="0" containsString="0" containsBlank="1"/>
    </cacheField>
    <cacheField name="Партнер" numFmtId="0">
      <sharedItems containsNonDate="0" containsString="0" containsBlank="1"/>
    </cacheField>
    <cacheField name="Склад" numFmtId="0">
      <sharedItems/>
    </cacheField>
    <cacheField name="Страна" numFmtId="0">
      <sharedItems/>
    </cacheField>
    <cacheField name="Тип коробов" numFmtId="0">
      <sharedItems containsNonDate="0" containsString="0" containsBlank="1"/>
    </cacheField>
    <cacheField name="Номер таможенной декларации" numFmtId="0">
      <sharedItems containsNonDate="0" containsString="0" containsBlank="1"/>
    </cacheField>
    <cacheField name="ШК" numFmtId="0">
      <sharedItems containsSemiMixedTypes="0" containsString="0" containsNumber="1" containsInteger="1" minValue="11408244814" maxValue="11408244814"/>
    </cacheField>
    <cacheField name="Rid" numFmtId="0">
      <sharedItems containsNonDate="0" containsString="0" containsBlank="1"/>
    </cacheField>
    <cacheField name="Srid" numFmtId="0">
      <sharedItems/>
    </cacheField>
    <cacheField name="Хранение" numFmtId="0">
      <sharedItems containsSemiMixedTypes="0" containsString="0" containsNumber="1" containsInteger="1" minValue="0" maxValue="0"/>
    </cacheField>
    <cacheField name="Удержания" numFmtId="0">
      <sharedItems containsSemiMixedTypes="0" containsString="0" containsNumber="1" containsInteger="1" minValue="0" maxValue="0"/>
    </cacheField>
    <cacheField name="Платная приемка" numFmtId="0">
      <sharedItems containsSemiMixedTypes="0" containsString="0" containsNumber="1" containsInteger="1" minValue="0" maxValue="0"/>
    </cacheField>
    <cacheField name="Продажи, шт" numFmtId="0">
      <sharedItems containsSemiMixedTypes="0" containsString="0" containsNumber="1" containsInteger="1" minValue="0" maxValue="0"/>
    </cacheField>
    <cacheField name="Возвраты, шт" numFmtId="0">
      <sharedItems containsSemiMixedTypes="0" containsString="0" containsNumber="1" containsInteger="1" minValue="0" maxValue="0"/>
    </cacheField>
    <cacheField name="Продажи, руб" numFmtId="0">
      <sharedItems containsSemiMixedTypes="0" containsString="0" containsNumber="1" containsInteger="1" minValue="0" maxValue="0"/>
    </cacheField>
    <cacheField name="Возвраты, руб" numFmtId="0">
      <sharedItems containsSemiMixedTypes="0" containsString="0" containsNumber="1" containsInteger="1" minValue="0" maxValue="0"/>
    </cacheField>
    <cacheField name="Сумма реализации" numFmtId="0">
      <sharedItems containsSemiMixedTypes="0" containsString="0" containsNumber="1" containsInteger="1" minValue="0" maxValue="0"/>
    </cacheField>
    <cacheField name="Комиссия ВБ" numFmtId="0">
      <sharedItems containsSemiMixedTypes="0" containsString="0" containsNumber="1" containsInteger="1" minValue="0" maxValue="0"/>
    </cacheField>
    <cacheField name="Логистика" numFmtId="0">
      <sharedItems containsSemiMixedTypes="0" containsString="0" containsNumber="1" containsInteger="1" minValue="186" maxValue="186"/>
    </cacheField>
    <cacheField name="К перечислению" numFmtId="0">
      <sharedItems containsSemiMixedTypes="0" containsString="0" containsNumber="1" containsInteger="1" minValue="0" maxValue="0"/>
    </cacheField>
    <cacheField name="Итого к оплате" numFmtId="0">
      <sharedItems containsSemiMixedTypes="0" containsString="0" containsNumber="1" containsInteger="1" minValue="-186" maxValue="-186"/>
    </cacheField>
    <cacheField name="Налог" numFmtId="0">
      <sharedItems containsSemiMixedTypes="0" containsString="0" containsNumber="1" containsInteger="1" minValue="0" maxValue="0"/>
    </cacheField>
    <cacheField name="Себестоимость" numFmtId="0">
      <sharedItems containsSemiMixedTypes="0" containsString="0" containsNumber="1" containsInteger="1" minValue="3200" maxValue="3200"/>
    </cacheField>
    <cacheField name="Себестоимость реализации" numFmtId="0">
      <sharedItems containsSemiMixedTypes="0" containsString="0" containsNumber="1" containsInteger="1" minValue="0" maxValue="0"/>
    </cacheField>
    <cacheField name="Прибыль" numFmtId="0">
      <sharedItems containsSemiMixedTypes="0" containsString="0" containsNumber="1" containsInteger="1" minValue="-186" maxValue="-186"/>
    </cacheField>
    <cacheField name="Хранение, руб." numFmtId="1">
      <sharedItems containsSemiMixedTypes="0" containsString="0" containsNumber="1" containsInteger="1" minValue="0" maxValue="0"/>
    </cacheField>
    <cacheField name="Проч.удержания, руб." numFmtId="1">
      <sharedItems containsSemiMixedTypes="0" containsString="0" containsNumber="1" containsInteger="1" minValue="0" maxValue="0"/>
    </cacheField>
    <cacheField name="Платная приемка, руб." numFmtId="1">
      <sharedItems containsSemiMixedTypes="0" containsString="0" containsNumber="1" containsInteger="1" minValue="0" maxValue="0"/>
    </cacheField>
    <cacheField name="Рентабельность" numFmtId="0" formula="IF(Прибыль&lt; 0, 0,IFERROR(Прибыль/'Сумма реализации',0))" databaseField="0"/>
    <cacheField name="ROI" numFmtId="0" formula="IF(Прибыль&lt; 0, 0, IFERROR(Прибыль/'Себестоимость реализации',0))" databaseField="0"/>
  </cacheFields>
  <extLst>
    <ext xmlns:x14="http://schemas.microsoft.com/office/spreadsheetml/2009/9/main" uri="{725AE2AE-9491-48be-B2B4-4EB974FC3084}">
      <x14:pivotCacheDefinition pivotCacheId="12667013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s v="1"/>
    <n v="0"/>
    <x v="0"/>
    <n v="138176807"/>
    <x v="0"/>
    <x v="0"/>
    <s v="Шуба искусственная экошуба зимняя с капюшоном норка"/>
    <x v="0"/>
    <s v="2037241528657"/>
    <m/>
    <s v="Логистика"/>
    <s v="2024-02-23"/>
    <s v="2024-03-11"/>
    <n v="0"/>
    <n v="0"/>
    <n v="0"/>
    <n v="0"/>
    <m/>
    <n v="0"/>
    <n v="0"/>
    <n v="0"/>
    <n v="0"/>
    <n v="0"/>
    <n v="0"/>
    <n v="0"/>
    <n v="0"/>
    <n v="0"/>
    <n v="0"/>
    <n v="0"/>
    <n v="0"/>
    <n v="1"/>
    <n v="0"/>
    <n v="186"/>
    <n v="0"/>
    <n v="0"/>
    <s v="К клиенту при отмене"/>
    <s v="0"/>
    <m/>
    <n v="153808"/>
    <m/>
    <m/>
    <m/>
    <s v="Невинномысск"/>
    <s v="Россия"/>
    <m/>
    <m/>
    <n v="11408244814"/>
    <m/>
    <s v="8271793315931611027.15.0"/>
    <n v="0"/>
    <n v="0"/>
    <n v="0"/>
    <n v="0"/>
    <n v="0"/>
    <n v="0"/>
    <n v="0"/>
    <n v="0"/>
    <n v="0"/>
    <n v="186"/>
    <n v="0"/>
    <n v="-186"/>
    <n v="0"/>
    <n v="3200"/>
    <n v="0"/>
    <n v="-186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Сводная таблица2" cacheId="1" applyNumberFormats="0" applyBorderFormats="0" applyFontFormats="0" applyPatternFormats="0" applyAlignmentFormats="0" applyWidthHeightFormats="1" dataCaption="Значения" updatedVersion="8" minRefreshableVersion="3" rowGrandTotals="0" colGrandTotals="0" itemPrintTitles="1" createdVersion="8" indent="0" compact="0" compactData="0" multipleFieldFilters="0">
  <location ref="A11:Q12" firstHeaderRow="0" firstDataRow="1" firstDataCol="2"/>
  <pivotFields count="70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7">
        <item m="1" x="11"/>
        <item m="1" x="23"/>
        <item m="1" x="15"/>
        <item m="1" x="31"/>
        <item m="1" x="17"/>
        <item m="1" x="18"/>
        <item m="1" x="14"/>
        <item m="1" x="32"/>
        <item m="1" x="5"/>
        <item m="1" x="9"/>
        <item m="1" x="1"/>
        <item m="1" x="24"/>
        <item m="1" x="27"/>
        <item m="1" x="7"/>
        <item m="1" x="22"/>
        <item m="1" x="12"/>
        <item m="1" x="8"/>
        <item m="1" x="10"/>
        <item m="1" x="25"/>
        <item m="1" x="35"/>
        <item m="1" x="28"/>
        <item m="1" x="4"/>
        <item m="1" x="19"/>
        <item m="1" x="13"/>
        <item m="1" x="21"/>
        <item m="1" x="6"/>
        <item m="1" x="20"/>
        <item m="1" x="30"/>
        <item m="1" x="29"/>
        <item m="1" x="33"/>
        <item m="1" x="36"/>
        <item m="1" x="26"/>
        <item m="1" x="16"/>
        <item m="1" x="3"/>
        <item x="0"/>
        <item m="1" x="34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9">
        <item m="1" x="5"/>
        <item m="1" x="4"/>
        <item m="1" x="2"/>
        <item m="1" x="3"/>
        <item m="1" x="7"/>
        <item m="1" x="6"/>
        <item m="1" x="8"/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363">
        <item m="1" x="76"/>
        <item m="1" x="92"/>
        <item m="1" x="307"/>
        <item m="1" x="231"/>
        <item m="1" x="103"/>
        <item m="1" x="136"/>
        <item m="1" x="183"/>
        <item m="1" x="196"/>
        <item m="1" x="49"/>
        <item m="1" x="343"/>
        <item m="1" x="278"/>
        <item m="1" x="154"/>
        <item m="1" x="184"/>
        <item m="1" x="308"/>
        <item m="1" x="242"/>
        <item m="1" x="268"/>
        <item m="1" x="299"/>
        <item m="1" x="251"/>
        <item m="1" x="60"/>
        <item m="1" x="289"/>
        <item m="1" x="317"/>
        <item m="1" x="7"/>
        <item m="1" x="300"/>
        <item m="1" x="230"/>
        <item m="1" x="155"/>
        <item m="1" x="75"/>
        <item m="1" x="102"/>
        <item m="1" x="318"/>
        <item m="1" x="344"/>
        <item m="1" x="224"/>
        <item m="1" x="147"/>
        <item m="1" x="176"/>
        <item m="1" x="272"/>
        <item m="1" x="199"/>
        <item m="1" x="165"/>
        <item m="1" x="197"/>
        <item m="1" x="124"/>
        <item m="1" x="252"/>
        <item m="1" x="14"/>
        <item m="1" x="345"/>
        <item m="1" x="305"/>
        <item m="1" x="237"/>
        <item m="1" x="177"/>
        <item m="1" x="359"/>
        <item m="1" x="279"/>
        <item m="1" x="189"/>
        <item m="1" x="225"/>
        <item m="1" x="135"/>
        <item m="1" x="288"/>
        <item m="1" x="351"/>
        <item m="1" x="309"/>
        <item m="1" x="90"/>
        <item m="1" x="125"/>
        <item m="1" x="321"/>
        <item m="1" x="190"/>
        <item m="1" x="226"/>
        <item m="1" x="51"/>
        <item m="1" x="70"/>
        <item m="1" x="243"/>
        <item m="1" x="86"/>
        <item m="1" x="178"/>
        <item m="1" x="213"/>
        <item m="1" x="350"/>
        <item m="1" x="298"/>
        <item m="1" x="24"/>
        <item m="1" x="146"/>
        <item m="1" x="249"/>
        <item m="1" x="141"/>
        <item m="1" x="1"/>
        <item m="1" x="104"/>
        <item m="1" x="337"/>
        <item m="1" x="193"/>
        <item m="1" x="341"/>
        <item m="1" x="34"/>
        <item m="1" x="98"/>
        <item m="1" x="306"/>
        <item m="1" x="172"/>
        <item m="1" x="259"/>
        <item m="1" x="152"/>
        <item m="1" x="314"/>
        <item m="1" x="17"/>
        <item m="1" x="263"/>
        <item m="1" x="293"/>
        <item m="1" x="119"/>
        <item m="1" x="220"/>
        <item m="1" x="358"/>
        <item m="1" x="217"/>
        <item m="1" x="264"/>
        <item m="1" x="19"/>
        <item m="1" x="39"/>
        <item m="1" x="267"/>
        <item m="1" x="182"/>
        <item m="1" x="35"/>
        <item m="1" x="18"/>
        <item m="1" x="116"/>
        <item m="1" x="57"/>
        <item m="1" x="221"/>
        <item m="1" x="346"/>
        <item m="1" x="12"/>
        <item m="1" x="115"/>
        <item m="1" x="332"/>
        <item m="1" x="45"/>
        <item m="1" x="120"/>
        <item m="1" x="128"/>
        <item m="1" x="80"/>
        <item m="1" x="33"/>
        <item m="1" x="258"/>
        <item m="1" x="292"/>
        <item m="1" x="96"/>
        <item m="1" x="106"/>
        <item m="1" x="52"/>
        <item m="1" x="255"/>
        <item m="1" x="244"/>
        <item m="1" x="15"/>
        <item m="1" x="122"/>
        <item m="1" x="187"/>
        <item m="1" x="234"/>
        <item m="1" x="201"/>
        <item m="1" x="210"/>
        <item m="1" x="137"/>
        <item m="1" x="83"/>
        <item m="1" x="123"/>
        <item m="1" x="347"/>
        <item m="1" x="312"/>
        <item m="1" x="5"/>
        <item m="1" x="111"/>
        <item m="1" x="164"/>
        <item m="1" x="179"/>
        <item m="1" x="245"/>
        <item m="1" x="74"/>
        <item m="1" x="246"/>
        <item m="1" x="302"/>
        <item m="1" x="294"/>
        <item m="1" x="10"/>
        <item m="1" x="323"/>
        <item m="1" x="54"/>
        <item m="1" x="27"/>
        <item m="1" x="228"/>
        <item m="1" x="240"/>
        <item m="1" x="241"/>
        <item m="1" x="181"/>
        <item m="1" x="64"/>
        <item m="1" x="22"/>
        <item m="1" x="40"/>
        <item m="1" x="53"/>
        <item m="1" x="93"/>
        <item m="1" x="26"/>
        <item m="1" x="202"/>
        <item m="1" x="295"/>
        <item m="1" x="362"/>
        <item m="1" x="69"/>
        <item m="1" x="327"/>
        <item m="1" x="320"/>
        <item m="1" x="109"/>
        <item m="1" x="163"/>
        <item m="1" x="203"/>
        <item m="1" x="296"/>
        <item m="1" x="63"/>
        <item m="1" x="46"/>
        <item m="1" x="355"/>
        <item m="1" x="160"/>
        <item m="1" x="331"/>
        <item m="1" x="324"/>
        <item m="1" x="204"/>
        <item m="1" x="297"/>
        <item m="1" x="287"/>
        <item m="1" x="88"/>
        <item m="1" x="301"/>
        <item m="1" x="37"/>
        <item m="1" x="47"/>
        <item m="1" x="328"/>
        <item m="1" x="149"/>
        <item m="1" x="55"/>
        <item m="1" x="118"/>
        <item m="1" x="227"/>
        <item m="1" x="208"/>
        <item m="1" x="131"/>
        <item m="1" x="9"/>
        <item m="1" x="107"/>
        <item m="1" x="127"/>
        <item m="1" x="168"/>
        <item m="1" x="151"/>
        <item m="1" x="157"/>
        <item m="1" x="72"/>
        <item m="1" x="325"/>
        <item m="1" x="97"/>
        <item m="1" x="167"/>
        <item m="1" x="11"/>
        <item m="1" x="84"/>
        <item m="1" x="218"/>
        <item m="1" x="271"/>
        <item m="1" x="222"/>
        <item m="1" x="161"/>
        <item m="1" x="44"/>
        <item m="1" x="4"/>
        <item m="1" x="194"/>
        <item m="1" x="313"/>
        <item m="1" x="262"/>
        <item m="1" x="200"/>
        <item m="1" x="256"/>
        <item m="1" x="99"/>
        <item m="1" x="330"/>
        <item m="1" x="185"/>
        <item m="1" x="36"/>
        <item m="1" x="265"/>
        <item m="1" x="114"/>
        <item m="1" x="139"/>
        <item m="1" x="30"/>
        <item m="1" x="205"/>
        <item m="1" x="353"/>
        <item m="1" x="41"/>
        <item m="1" x="56"/>
        <item m="1" x="29"/>
        <item m="1" x="170"/>
        <item m="1" x="326"/>
        <item m="1" x="356"/>
        <item m="1" x="180"/>
        <item m="1" x="169"/>
        <item m="1" x="174"/>
        <item m="1" x="13"/>
        <item m="1" x="282"/>
        <item m="1" x="58"/>
        <item m="1" x="16"/>
        <item m="1" x="357"/>
        <item m="1" x="283"/>
        <item m="1" x="117"/>
        <item m="1" x="290"/>
        <item m="1" x="50"/>
        <item m="1" x="322"/>
        <item m="1" x="286"/>
        <item m="1" x="100"/>
        <item m="1" x="112"/>
        <item m="1" x="215"/>
        <item m="1" x="126"/>
        <item m="1" x="214"/>
        <item m="1" x="25"/>
        <item m="1" x="105"/>
        <item m="1" x="198"/>
        <item m="1" x="274"/>
        <item m="1" x="68"/>
        <item m="1" x="42"/>
        <item m="1" x="219"/>
        <item m="1" x="223"/>
        <item m="1" x="276"/>
        <item m="1" x="144"/>
        <item m="1" x="162"/>
        <item m="1" x="340"/>
        <item m="1" x="342"/>
        <item m="1" x="94"/>
        <item m="1" x="304"/>
        <item m="1" x="349"/>
        <item m="1" x="145"/>
        <item m="1" x="133"/>
        <item m="1" x="348"/>
        <item m="1" x="134"/>
        <item m="1" x="175"/>
        <item m="1" x="188"/>
        <item m="1" x="89"/>
        <item m="1" x="81"/>
        <item m="1" x="212"/>
        <item m="1" x="59"/>
        <item m="1" x="334"/>
        <item m="1" x="153"/>
        <item m="1" x="329"/>
        <item m="1" x="316"/>
        <item m="1" x="101"/>
        <item m="1" x="236"/>
        <item m="1" x="277"/>
        <item m="1" x="138"/>
        <item m="1" x="229"/>
        <item m="1" x="82"/>
        <item m="1" x="95"/>
        <item x="0"/>
        <item m="1" x="253"/>
        <item m="1" x="186"/>
        <item m="1" x="21"/>
        <item m="1" x="319"/>
        <item m="1" x="235"/>
        <item m="1" x="150"/>
        <item m="1" x="248"/>
        <item m="1" x="156"/>
        <item m="1" x="48"/>
        <item m="1" x="338"/>
        <item m="1" x="333"/>
        <item m="1" x="303"/>
        <item m="1" x="132"/>
        <item m="1" x="254"/>
        <item m="1" x="62"/>
        <item m="1" x="43"/>
        <item m="1" x="336"/>
        <item m="1" x="195"/>
        <item m="1" x="257"/>
        <item m="1" x="142"/>
        <item m="1" x="239"/>
        <item m="1" x="130"/>
        <item m="1" x="250"/>
        <item m="1" x="206"/>
        <item m="1" x="108"/>
        <item m="1" x="85"/>
        <item m="1" x="143"/>
        <item m="1" x="38"/>
        <item m="1" x="113"/>
        <item m="1" x="310"/>
        <item m="1" x="31"/>
        <item m="1" x="110"/>
        <item m="1" x="233"/>
        <item m="1" x="71"/>
        <item m="1" x="352"/>
        <item m="1" x="232"/>
        <item m="1" x="354"/>
        <item m="1" x="261"/>
        <item m="1" x="140"/>
        <item m="1" x="192"/>
        <item m="1" x="77"/>
        <item m="1" x="171"/>
        <item m="1" x="191"/>
        <item m="1" x="2"/>
        <item m="1" x="209"/>
        <item m="1" x="270"/>
        <item m="1" x="148"/>
        <item m="1" x="260"/>
        <item m="1" x="20"/>
        <item m="1" x="207"/>
        <item m="1" x="273"/>
        <item m="1" x="280"/>
        <item m="1" x="159"/>
        <item m="1" x="73"/>
        <item m="1" x="291"/>
        <item m="1" x="360"/>
        <item m="1" x="158"/>
        <item m="1" x="166"/>
        <item m="1" x="65"/>
        <item m="1" x="266"/>
        <item m="1" x="8"/>
        <item m="1" x="66"/>
        <item m="1" x="285"/>
        <item m="1" x="79"/>
        <item m="1" x="216"/>
        <item m="1" x="311"/>
        <item m="1" x="3"/>
        <item m="1" x="247"/>
        <item sd="0" m="1" x="238"/>
        <item m="1" x="281"/>
        <item m="1" x="28"/>
        <item m="1" x="121"/>
        <item m="1" x="23"/>
        <item m="1" x="129"/>
        <item m="1" x="284"/>
        <item m="1" x="91"/>
        <item m="1" x="173"/>
        <item m="1" x="275"/>
        <item m="1" x="269"/>
        <item m="1" x="61"/>
        <item m="1" x="67"/>
        <item m="1" x="78"/>
        <item m="1" x="361"/>
        <item m="1" x="335"/>
        <item m="1" x="211"/>
        <item m="1" x="339"/>
        <item m="1" x="87"/>
        <item m="1" x="32"/>
        <item m="1" x="315"/>
        <item m="1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0"/>
        <item m="1" x="2"/>
        <item m="1" x="1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5"/>
    <field x="7"/>
  </rowFields>
  <rowItems count="1">
    <i>
      <x v="272"/>
      <x/>
    </i>
  </rowItems>
  <colFields count="1">
    <field x="-2"/>
  </colFields>
  <col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colItems>
  <dataFields count="15">
    <dataField name="Доставки, шт" fld="30" baseField="0" baseItem="0" numFmtId="3"/>
    <dataField name="Продажи, шт " fld="52" baseField="0" baseItem="0" numFmtId="3"/>
    <dataField name="Возвраты, шт " fld="53" baseField="0" baseItem="0" numFmtId="3"/>
    <dataField name=" Сумма реализации" fld="56" baseField="0" baseItem="0" numFmtId="42"/>
    <dataField name=" Комиссия ВБ" fld="57" baseField="0" baseItem="0" numFmtId="42"/>
    <dataField name="Логистика " fld="58" baseField="0" baseItem="0"/>
    <dataField name="Хранение " fld="65" baseField="7" baseItem="0" numFmtId="3"/>
    <dataField name="Проч.удержания, руб. " fld="66" baseField="7" baseItem="0" numFmtId="3"/>
    <dataField name="Платная приемка " fld="67" baseField="7" baseItem="0" numFmtId="3"/>
    <dataField name="Себестоимость изделия" fld="62" subtotal="average" baseField="5" baseItem="0" numFmtId="42"/>
    <dataField name=" Себестоимость реализации" fld="63" baseField="0" baseItem="0" numFmtId="42"/>
    <dataField name=" Налог" fld="61" baseField="0" baseItem="0" numFmtId="42"/>
    <dataField name=" Прибыль" fld="64" baseField="0" baseItem="0" numFmtId="42"/>
    <dataField name=" Рентабельность" fld="68" baseField="0" baseItem="0" numFmtId="9"/>
    <dataField name=" ROI" fld="69" baseField="0" baseItem="0" numFmtId="9"/>
  </dataFields>
  <formats count="41">
    <format dxfId="109">
      <pivotArea field="5" type="button" dataOnly="0" labelOnly="1" outline="0" axis="axisRow" fieldPosition="0"/>
    </format>
    <format dxfId="108">
      <pivotArea dataOnly="0" labelOnly="1" outline="0" fieldPosition="0">
        <references count="1">
          <reference field="4294967294" count="9">
            <x v="0"/>
            <x v="1"/>
            <x v="2"/>
            <x v="3"/>
            <x v="4"/>
            <x v="9"/>
            <x v="10"/>
            <x v="11"/>
            <x v="12"/>
          </reference>
        </references>
      </pivotArea>
    </format>
    <format dxfId="107">
      <pivotArea field="5" type="button" dataOnly="0" labelOnly="1" outline="0" axis="axisRow" fieldPosition="0"/>
    </format>
    <format dxfId="106">
      <pivotArea dataOnly="0" labelOnly="1" outline="0" fieldPosition="0">
        <references count="1">
          <reference field="4294967294" count="9">
            <x v="0"/>
            <x v="1"/>
            <x v="2"/>
            <x v="3"/>
            <x v="4"/>
            <x v="9"/>
            <x v="10"/>
            <x v="11"/>
            <x v="12"/>
          </reference>
        </references>
      </pivotArea>
    </format>
    <format dxfId="105">
      <pivotArea field="5" type="button" dataOnly="0" labelOnly="1" outline="0" axis="axisRow" fieldPosition="0"/>
    </format>
    <format dxfId="104">
      <pivotArea dataOnly="0" labelOnly="1" outline="0" fieldPosition="0">
        <references count="1">
          <reference field="4294967294" count="9">
            <x v="0"/>
            <x v="1"/>
            <x v="2"/>
            <x v="3"/>
            <x v="4"/>
            <x v="9"/>
            <x v="10"/>
            <x v="11"/>
            <x v="12"/>
          </reference>
        </references>
      </pivotArea>
    </format>
    <format dxfId="103">
      <pivotArea field="5" type="button" dataOnly="0" labelOnly="1" outline="0" axis="axisRow" fieldPosition="0"/>
    </format>
    <format dxfId="102">
      <pivotArea dataOnly="0" labelOnly="1" outline="0" fieldPosition="0">
        <references count="1">
          <reference field="4294967294" count="9">
            <x v="0"/>
            <x v="1"/>
            <x v="2"/>
            <x v="3"/>
            <x v="4"/>
            <x v="9"/>
            <x v="10"/>
            <x v="11"/>
            <x v="12"/>
          </reference>
        </references>
      </pivotArea>
    </format>
    <format dxfId="101">
      <pivotArea outline="0" fieldPosition="0">
        <references count="1">
          <reference field="4294967294" count="1">
            <x v="2"/>
          </reference>
        </references>
      </pivotArea>
    </format>
    <format dxfId="100">
      <pivotArea outline="0" fieldPosition="0">
        <references count="1">
          <reference field="4294967294" count="1">
            <x v="1"/>
          </reference>
        </references>
      </pivotArea>
    </format>
    <format dxfId="99">
      <pivotArea outline="0" fieldPosition="0">
        <references count="1">
          <reference field="4294967294" count="1">
            <x v="0"/>
          </reference>
        </references>
      </pivotArea>
    </format>
    <format dxfId="98">
      <pivotArea outline="0" fieldPosition="0">
        <references count="1">
          <reference field="4294967294" count="1">
            <x v="12"/>
          </reference>
        </references>
      </pivotArea>
    </format>
    <format dxfId="97">
      <pivotArea outline="0" fieldPosition="0">
        <references count="1">
          <reference field="4294967294" count="1">
            <x v="11"/>
          </reference>
        </references>
      </pivotArea>
    </format>
    <format dxfId="96">
      <pivotArea outline="0" fieldPosition="0">
        <references count="1">
          <reference field="4294967294" count="1">
            <x v="10"/>
          </reference>
        </references>
      </pivotArea>
    </format>
    <format dxfId="95">
      <pivotArea outline="0" fieldPosition="0">
        <references count="1">
          <reference field="4294967294" count="1">
            <x v="9"/>
          </reference>
        </references>
      </pivotArea>
    </format>
    <format dxfId="94">
      <pivotArea outline="0" fieldPosition="0">
        <references count="1">
          <reference field="4294967294" count="1">
            <x v="4"/>
          </reference>
        </references>
      </pivotArea>
    </format>
    <format dxfId="93">
      <pivotArea outline="0" fieldPosition="0">
        <references count="1">
          <reference field="4294967294" count="1">
            <x v="3"/>
          </reference>
        </references>
      </pivotArea>
    </format>
    <format dxfId="92">
      <pivotArea dataOnly="0" labelOnly="1" outline="0" fieldPosition="0">
        <references count="1">
          <reference field="4294967294" count="1">
            <x v="13"/>
          </reference>
        </references>
      </pivotArea>
    </format>
    <format dxfId="91">
      <pivotArea dataOnly="0" labelOnly="1" outline="0" fieldPosition="0">
        <references count="1">
          <reference field="4294967294" count="1">
            <x v="13"/>
          </reference>
        </references>
      </pivotArea>
    </format>
    <format dxfId="90">
      <pivotArea dataOnly="0" labelOnly="1" outline="0" fieldPosition="0">
        <references count="1">
          <reference field="4294967294" count="1">
            <x v="13"/>
          </reference>
        </references>
      </pivotArea>
    </format>
    <format dxfId="89">
      <pivotArea dataOnly="0" labelOnly="1" outline="0" fieldPosition="0">
        <references count="1">
          <reference field="4294967294" count="1">
            <x v="13"/>
          </reference>
        </references>
      </pivotArea>
    </format>
    <format dxfId="88">
      <pivotArea outline="0" fieldPosition="0">
        <references count="1">
          <reference field="4294967294" count="1">
            <x v="13"/>
          </reference>
        </references>
      </pivotArea>
    </format>
    <format dxfId="87">
      <pivotArea dataOnly="0" labelOnly="1" outline="0" fieldPosition="0">
        <references count="1">
          <reference field="4294967294" count="1">
            <x v="14"/>
          </reference>
        </references>
      </pivotArea>
    </format>
    <format dxfId="86">
      <pivotArea dataOnly="0" labelOnly="1" outline="0" fieldPosition="0">
        <references count="1">
          <reference field="4294967294" count="1">
            <x v="14"/>
          </reference>
        </references>
      </pivotArea>
    </format>
    <format dxfId="85">
      <pivotArea dataOnly="0" labelOnly="1" outline="0" fieldPosition="0">
        <references count="1">
          <reference field="4294967294" count="1">
            <x v="14"/>
          </reference>
        </references>
      </pivotArea>
    </format>
    <format dxfId="84">
      <pivotArea dataOnly="0" labelOnly="1" outline="0" fieldPosition="0">
        <references count="1">
          <reference field="4294967294" count="1">
            <x v="14"/>
          </reference>
        </references>
      </pivotArea>
    </format>
    <format dxfId="83">
      <pivotArea outline="0" fieldPosition="0">
        <references count="1">
          <reference field="4294967294" count="1">
            <x v="14"/>
          </reference>
        </references>
      </pivotArea>
    </format>
    <format dxfId="82">
      <pivotArea field="7" type="button" dataOnly="0" labelOnly="1" outline="0" axis="axisRow" fieldPosition="1"/>
    </format>
    <format dxfId="81">
      <pivotArea field="7" type="button" dataOnly="0" labelOnly="1" outline="0" axis="axisRow" fieldPosition="1"/>
    </format>
    <format dxfId="80">
      <pivotArea field="7" type="button" dataOnly="0" labelOnly="1" outline="0" axis="axisRow" fieldPosition="1"/>
    </format>
    <format dxfId="79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78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77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76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75">
      <pivotArea dataOnly="0" labelOnly="1" outline="0" fieldPosition="0">
        <references count="1">
          <reference field="4294967294" count="2">
            <x v="6"/>
            <x v="8"/>
          </reference>
        </references>
      </pivotArea>
    </format>
    <format dxfId="74">
      <pivotArea outline="0" fieldPosition="0">
        <references count="1">
          <reference field="4294967294" count="1">
            <x v="6"/>
          </reference>
        </references>
      </pivotArea>
    </format>
    <format dxfId="73">
      <pivotArea outline="0" fieldPosition="0">
        <references count="1">
          <reference field="4294967294" count="1">
            <x v="6"/>
          </reference>
        </references>
      </pivotArea>
    </format>
    <format dxfId="72">
      <pivotArea outline="0" fieldPosition="0">
        <references count="1">
          <reference field="4294967294" count="1">
            <x v="8"/>
          </reference>
        </references>
      </pivotArea>
    </format>
    <format dxfId="71">
      <pivotArea dataOnly="0" labelOnly="1" outline="0" fieldPosition="0">
        <references count="1">
          <reference field="4294967294" count="1">
            <x v="7"/>
          </reference>
        </references>
      </pivotArea>
    </format>
    <format dxfId="70">
      <pivotArea outline="0" fieldPosition="0">
        <references count="1">
          <reference field="4294967294" count="1">
            <x v="7"/>
          </reference>
        </references>
      </pivotArea>
    </format>
    <format dxfId="69">
      <pivotArea outline="0" fieldPosition="0">
        <references count="1">
          <reference field="4294967294" count="1">
            <x v="7"/>
          </reference>
        </references>
      </pivotArea>
    </format>
  </formats>
  <conditionalFormats count="6">
    <conditionalFormat priority="6">
      <pivotAreas count="1">
        <pivotArea type="data" outline="0" collapsedLevelsAreSubtotals="1" fieldPosition="0">
          <references count="1">
            <reference field="4294967294" count="1" selected="0">
              <x v="9"/>
            </reference>
          </references>
        </pivotArea>
      </pivotAreas>
    </conditionalFormat>
    <conditionalFormat priority="5">
      <pivotAreas count="1">
        <pivotArea type="data" outline="0" collapsedLevelsAreSubtotals="1" fieldPosition="0">
          <references count="1">
            <reference field="4294967294" count="1" selected="0">
              <x v="12"/>
            </reference>
          </references>
        </pivotArea>
      </pivotAreas>
    </conditionalFormat>
    <conditionalFormat priority="4">
      <pivotAreas count="1">
        <pivotArea type="data" outline="0" collapsedLevelsAreSubtotals="1" fieldPosition="0">
          <references count="1">
            <reference field="4294967294" count="1" selected="0">
              <x v="3"/>
            </reference>
          </references>
        </pivotArea>
      </pivotAreas>
    </conditionalFormat>
    <conditionalFormat priority="3">
      <pivotAreas count="1">
        <pivotArea type="data" outline="0" collapsedLevelsAreSubtotals="1" fieldPosition="0">
          <references count="1">
            <reference field="4294967294" count="1" selected="0">
              <x v="13"/>
            </reference>
          </references>
        </pivotArea>
      </pivotAreas>
    </conditionalFormat>
    <conditionalFormat priority="2">
      <pivotAreas count="1">
        <pivotArea type="data" outline="0" collapsedLevelsAreSubtotals="1" fieldPosition="0">
          <references count="1">
            <reference field="4294967294" count="1" selected="0">
              <x v="14"/>
            </reference>
          </references>
        </pivotArea>
      </pivotAreas>
    </conditionalFormat>
    <conditionalFormat priority="1">
      <pivotAreas count="1">
        <pivotArea type="data" outline="0" collapsedLevelsAreSubtotals="1" fieldPosition="0">
          <references count="1">
            <reference field="4294967294" count="1" selected="0">
              <x v="12"/>
            </reference>
          </references>
        </pivotArea>
      </pivotAreas>
    </conditionalFormat>
  </conditionalFormat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Предмет" xr10:uid="{00000000-0013-0000-FFFF-FFFF01000000}" sourceName="Предмет">
  <pivotTables>
    <pivotTable tabId="8" name="Сводная таблица2"/>
  </pivotTables>
  <data>
    <tabular pivotCacheId="126670135">
      <items count="37">
        <i x="0" s="1"/>
        <i x="11" s="1" nd="1"/>
        <i x="23" s="1" nd="1"/>
        <i x="15" s="1" nd="1"/>
        <i x="31" s="1" nd="1"/>
        <i x="17" s="1" nd="1"/>
        <i x="18" s="1" nd="1"/>
        <i x="14" s="1" nd="1"/>
        <i x="32" s="1" nd="1"/>
        <i x="5" s="1" nd="1"/>
        <i x="9" s="1" nd="1"/>
        <i x="1" s="1" nd="1"/>
        <i x="24" s="1" nd="1"/>
        <i x="27" s="1" nd="1"/>
        <i x="7" s="1" nd="1"/>
        <i x="22" s="1" nd="1"/>
        <i x="12" s="1" nd="1"/>
        <i x="8" s="1" nd="1"/>
        <i x="10" s="1" nd="1"/>
        <i x="25" s="1" nd="1"/>
        <i x="35" s="1" nd="1"/>
        <i x="28" s="1" nd="1"/>
        <i x="4" s="1" nd="1"/>
        <i x="19" s="1" nd="1"/>
        <i x="13" s="1" nd="1"/>
        <i x="21" s="1" nd="1"/>
        <i x="6" s="1" nd="1"/>
        <i x="20" s="1" nd="1"/>
        <i x="30" s="1" nd="1"/>
        <i x="29" s="1" nd="1"/>
        <i x="33" s="1" nd="1"/>
        <i x="36" s="1" nd="1"/>
        <i x="26" s="1" nd="1"/>
        <i x="16" s="1" nd="1"/>
        <i x="3" s="1" nd="1"/>
        <i x="34" s="1" nd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Бренд" xr10:uid="{00000000-0013-0000-FFFF-FFFF02000000}" sourceName="Бренд">
  <pivotTables>
    <pivotTable tabId="8" name="Сводная таблица2"/>
  </pivotTables>
  <data>
    <tabular pivotCacheId="126670135">
      <items count="9">
        <i x="0" s="1"/>
        <i x="5" s="1" nd="1"/>
        <i x="4" s="1" nd="1"/>
        <i x="2" s="1" nd="1"/>
        <i x="3" s="1" nd="1"/>
        <i x="7" s="1" nd="1"/>
        <i x="6" s="1" nd="1"/>
        <i x="8" s="1" nd="1"/>
        <i x="1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Предмет" xr10:uid="{00000000-0014-0000-FFFF-FFFF01000000}" cache="Срез_Предмет" caption="Предмет" style="SlicerStyleDark5" lockedPosition="1" rowHeight="241300"/>
  <slicer name="Бренд" xr10:uid="{00000000-0014-0000-FFFF-FFFF02000000}" cache="Срез_Бренд" caption="Бренд" style="SlicerStyleDark5" lockedPosition="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Таблица3" displayName="Таблица3" ref="A1:BI9" totalsRowShown="0">
  <autoFilter ref="A1:BI9" xr:uid="{00000000-0009-0000-0100-000003000000}"/>
  <tableColumns count="61">
    <tableColumn id="1" xr3:uid="{00000000-0010-0000-0000-000001000000}" name="№"/>
    <tableColumn id="2" xr3:uid="{00000000-0010-0000-0000-000002000000}" name="Номер поставки"/>
    <tableColumn id="3" xr3:uid="{00000000-0010-0000-0000-000003000000}" name="Предмет"/>
    <tableColumn id="4" xr3:uid="{00000000-0010-0000-0000-000004000000}" name="Код номенклатуры"/>
    <tableColumn id="5" xr3:uid="{00000000-0010-0000-0000-000005000000}" name="Бренд"/>
    <tableColumn id="6" xr3:uid="{00000000-0010-0000-0000-000006000000}" name="Артикул поставщика"/>
    <tableColumn id="7" xr3:uid="{00000000-0010-0000-0000-000007000000}" name="Название"/>
    <tableColumn id="8" xr3:uid="{00000000-0010-0000-0000-000008000000}" name="Размер"/>
    <tableColumn id="9" xr3:uid="{00000000-0010-0000-0000-000009000000}" name="Баркод"/>
    <tableColumn id="10" xr3:uid="{00000000-0010-0000-0000-00000A000000}" name="Тип документа"/>
    <tableColumn id="11" xr3:uid="{00000000-0010-0000-0000-00000B000000}" name="Обоснование для оплаты"/>
    <tableColumn id="12" xr3:uid="{00000000-0010-0000-0000-00000C000000}" name="Дата заказа покупателем"/>
    <tableColumn id="13" xr3:uid="{00000000-0010-0000-0000-00000D000000}" name="Дата продажи"/>
    <tableColumn id="14" xr3:uid="{00000000-0010-0000-0000-00000E000000}" name="Кол-во"/>
    <tableColumn id="15" xr3:uid="{00000000-0010-0000-0000-00000F000000}" name="Цена розничная"/>
    <tableColumn id="16" xr3:uid="{00000000-0010-0000-0000-000010000000}" name="Вайлдберриз реализовал Товар (Пр)"/>
    <tableColumn id="17" xr3:uid="{00000000-0010-0000-0000-000011000000}" name="Согласованный продуктовый дисконт, %"/>
    <tableColumn id="18" xr3:uid="{00000000-0010-0000-0000-000012000000}" name="Промокод %"/>
    <tableColumn id="19" xr3:uid="{00000000-0010-0000-0000-000013000000}" name="Итоговая согласованная скидка, %"/>
    <tableColumn id="20" xr3:uid="{00000000-0010-0000-0000-000014000000}" name="Цена розничная с учетом согласованной скидки"/>
    <tableColumn id="21" xr3:uid="{00000000-0010-0000-0000-000015000000}" name="Скидка постоянного Покупателя (СПП), %"/>
    <tableColumn id="22" xr3:uid="{00000000-0010-0000-0000-000016000000}" name="Размер кВВ, %"/>
    <tableColumn id="23" xr3:uid="{00000000-0010-0000-0000-000017000000}" name="Размер  кВВ без НДС, % Базовый"/>
    <tableColumn id="24" xr3:uid="{00000000-0010-0000-0000-000018000000}" name="Итоговый кВВ без НДС, %"/>
    <tableColumn id="25" xr3:uid="{00000000-0010-0000-0000-000019000000}" name="Вознаграждение с продаж до вычета услуг поверенного, без НДС"/>
    <tableColumn id="26" xr3:uid="{00000000-0010-0000-0000-00001A000000}" name="Возмещение за выдачу и возврат товаров на ПВЗ"/>
    <tableColumn id="27" xr3:uid="{00000000-0010-0000-0000-00001B000000}" name="Возмещение издержек по эквайрингу"/>
    <tableColumn id="28" xr3:uid="{00000000-0010-0000-0000-00001C000000}" name="Вознаграждение Вайлдберриз (ВВ), без НДС"/>
    <tableColumn id="29" xr3:uid="{00000000-0010-0000-0000-00001D000000}" name="НДС с Вознаграждения Вайлдберриз"/>
    <tableColumn id="30" xr3:uid="{00000000-0010-0000-0000-00001E000000}" name="К перечислению Продавцу за реализованный Товар"/>
    <tableColumn id="31" xr3:uid="{00000000-0010-0000-0000-00001F000000}" name="Количество доставок"/>
    <tableColumn id="32" xr3:uid="{00000000-0010-0000-0000-000020000000}" name="Количество возврата"/>
    <tableColumn id="33" xr3:uid="{00000000-0010-0000-0000-000021000000}" name="Услуги по доставке товара покупателю"/>
    <tableColumn id="34" xr3:uid="{00000000-0010-0000-0000-000022000000}" name="Общая сумма штрафов"/>
    <tableColumn id="35" xr3:uid="{00000000-0010-0000-0000-000023000000}" name="Доплаты"/>
    <tableColumn id="36" xr3:uid="{00000000-0010-0000-0000-000024000000}" name="Виды логистики, штрафов и доплат"/>
    <tableColumn id="37" xr3:uid="{00000000-0010-0000-0000-000025000000}" name="Стикер МП"/>
    <tableColumn id="38" xr3:uid="{00000000-0010-0000-0000-000026000000}" name="Наименование банка-эквайера"/>
    <tableColumn id="39" xr3:uid="{00000000-0010-0000-0000-000027000000}" name="Номер офиса"/>
    <tableColumn id="40" xr3:uid="{00000000-0010-0000-0000-000028000000}" name="Наименование офиса доставки"/>
    <tableColumn id="41" xr3:uid="{00000000-0010-0000-0000-000029000000}" name="ИНН партнера"/>
    <tableColumn id="42" xr3:uid="{00000000-0010-0000-0000-00002A000000}" name="Партнер"/>
    <tableColumn id="43" xr3:uid="{00000000-0010-0000-0000-00002B000000}" name="Склад"/>
    <tableColumn id="44" xr3:uid="{00000000-0010-0000-0000-00002C000000}" name="Страна"/>
    <tableColumn id="45" xr3:uid="{00000000-0010-0000-0000-00002D000000}" name="Тип коробов"/>
    <tableColumn id="46" xr3:uid="{00000000-0010-0000-0000-00002E000000}" name="Номер таможенной декларации"/>
    <tableColumn id="47" xr3:uid="{00000000-0010-0000-0000-00002F000000}" name="ШК"/>
    <tableColumn id="48" xr3:uid="{00000000-0010-0000-0000-000030000000}" name="Rid"/>
    <tableColumn id="49" xr3:uid="{00000000-0010-0000-0000-000031000000}" name="Srid"/>
    <tableColumn id="50" xr3:uid="{00000000-0010-0000-0000-000032000000}" name="Продажи, шт"/>
    <tableColumn id="51" xr3:uid="{00000000-0010-0000-0000-000033000000}" name="Возвраты, шт"/>
    <tableColumn id="52" xr3:uid="{00000000-0010-0000-0000-000034000000}" name="Продажи, руб"/>
    <tableColumn id="53" xr3:uid="{00000000-0010-0000-0000-000035000000}" name="Возвраты, руб"/>
    <tableColumn id="54" xr3:uid="{00000000-0010-0000-0000-000036000000}" name="Сумма реализации"/>
    <tableColumn id="55" xr3:uid="{00000000-0010-0000-0000-000037000000}" name="Комиссия ВБ"/>
    <tableColumn id="56" xr3:uid="{00000000-0010-0000-0000-000038000000}" name="Логистика"/>
    <tableColumn id="57" xr3:uid="{00000000-0010-0000-0000-000039000000}" name="К перечислению"/>
    <tableColumn id="58" xr3:uid="{00000000-0010-0000-0000-00003A000000}" name="Налог"/>
    <tableColumn id="59" xr3:uid="{00000000-0010-0000-0000-00003B000000}" name="Себестоимость"/>
    <tableColumn id="60" xr3:uid="{00000000-0010-0000-0000-00003C000000}" name="Себестоимость реализации"/>
    <tableColumn id="61" xr3:uid="{00000000-0010-0000-0000-00003D000000}" name="Прибыль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Details" displayName="Details" ref="A1:BP2" totalsRowShown="0" headerRowDxfId="68" dataDxfId="67">
  <autoFilter ref="A1:BP2" xr:uid="{00000000-0009-0000-0100-000001000000}"/>
  <tableColumns count="68">
    <tableColumn id="1" xr3:uid="{00000000-0010-0000-0100-000001000000}" name="№" dataDxfId="66"/>
    <tableColumn id="2" xr3:uid="{00000000-0010-0000-0100-000002000000}" name="Номер поставки" dataDxfId="65"/>
    <tableColumn id="3" xr3:uid="{00000000-0010-0000-0100-000003000000}" name="Предмет" dataDxfId="64"/>
    <tableColumn id="4" xr3:uid="{00000000-0010-0000-0100-000004000000}" name="Код номенклатуры" dataDxfId="63"/>
    <tableColumn id="5" xr3:uid="{00000000-0010-0000-0100-000005000000}" name="Бренд" dataDxfId="62"/>
    <tableColumn id="6" xr3:uid="{00000000-0010-0000-0100-000006000000}" name="Артикул поставщика" dataDxfId="61"/>
    <tableColumn id="7" xr3:uid="{00000000-0010-0000-0100-000007000000}" name="Название" dataDxfId="60"/>
    <tableColumn id="8" xr3:uid="{00000000-0010-0000-0100-000008000000}" name="Размер" dataDxfId="59"/>
    <tableColumn id="9" xr3:uid="{00000000-0010-0000-0100-000009000000}" name="Баркод" dataDxfId="58"/>
    <tableColumn id="10" xr3:uid="{00000000-0010-0000-0100-00000A000000}" name="Тип документа" dataDxfId="57"/>
    <tableColumn id="11" xr3:uid="{00000000-0010-0000-0100-00000B000000}" name="Обоснование для оплаты" dataDxfId="56"/>
    <tableColumn id="12" xr3:uid="{00000000-0010-0000-0100-00000C000000}" name="Дата заказа покупателем" dataDxfId="55"/>
    <tableColumn id="13" xr3:uid="{00000000-0010-0000-0100-00000D000000}" name="Дата продажи" dataDxfId="54"/>
    <tableColumn id="14" xr3:uid="{00000000-0010-0000-0100-00000E000000}" name="Кол-во" dataDxfId="53"/>
    <tableColumn id="15" xr3:uid="{00000000-0010-0000-0100-00000F000000}" name="Цена розничная" dataDxfId="52"/>
    <tableColumn id="16" xr3:uid="{00000000-0010-0000-0100-000010000000}" name="Вайлдберриз реализовал Товар (Пр)" dataDxfId="51"/>
    <tableColumn id="17" xr3:uid="{00000000-0010-0000-0100-000011000000}" name="Согласованный продуктовый дисконт, %" dataDxfId="50"/>
    <tableColumn id="18" xr3:uid="{00000000-0010-0000-0100-000012000000}" name="Промокод %" dataDxfId="49"/>
    <tableColumn id="19" xr3:uid="{00000000-0010-0000-0100-000013000000}" name="Итоговая согласованная скидка, %" dataDxfId="48"/>
    <tableColumn id="20" xr3:uid="{00000000-0010-0000-0100-000014000000}" name="Цена розничная с учетом согласованной скидки" dataDxfId="47"/>
    <tableColumn id="21" xr3:uid="{00000000-0010-0000-0100-000015000000}" name="Скидка постоянного Покупателя (СПП), %" dataDxfId="46"/>
    <tableColumn id="22" xr3:uid="{00000000-0010-0000-0100-000016000000}" name="Размер кВВ, %" dataDxfId="45"/>
    <tableColumn id="23" xr3:uid="{00000000-0010-0000-0100-000017000000}" name="Размер  кВВ без НДС, % Базовый" dataDxfId="44"/>
    <tableColumn id="24" xr3:uid="{00000000-0010-0000-0100-000018000000}" name="Итоговый кВВ без НДС, %" dataDxfId="43"/>
    <tableColumn id="25" xr3:uid="{00000000-0010-0000-0100-000019000000}" name="Вознаграждение с продаж до вычета услуг поверенного, без НДС" dataDxfId="42"/>
    <tableColumn id="26" xr3:uid="{00000000-0010-0000-0100-00001A000000}" name="Возмещение за выдачу и возврат товаров на ПВЗ" dataDxfId="41"/>
    <tableColumn id="27" xr3:uid="{00000000-0010-0000-0100-00001B000000}" name="Возмещение издержек по эквайрингу" dataDxfId="40"/>
    <tableColumn id="28" xr3:uid="{00000000-0010-0000-0100-00001C000000}" name="Вознаграждение Вайлдберриз (ВВ), без НДС" dataDxfId="39"/>
    <tableColumn id="29" xr3:uid="{00000000-0010-0000-0100-00001D000000}" name="НДС с Вознаграждения Вайлдберриз" dataDxfId="38"/>
    <tableColumn id="30" xr3:uid="{00000000-0010-0000-0100-00001E000000}" name="К перечислению Продавцу за реализованный Товар" dataDxfId="37"/>
    <tableColumn id="31" xr3:uid="{00000000-0010-0000-0100-00001F000000}" name="Количество доставок" dataDxfId="36"/>
    <tableColumn id="32" xr3:uid="{00000000-0010-0000-0100-000020000000}" name="Количество возврата" dataDxfId="35"/>
    <tableColumn id="33" xr3:uid="{00000000-0010-0000-0100-000021000000}" name="Услуги по доставке товара покупателю" dataDxfId="34"/>
    <tableColumn id="34" xr3:uid="{00000000-0010-0000-0100-000022000000}" name="Общая сумма штрафов" dataDxfId="33"/>
    <tableColumn id="35" xr3:uid="{00000000-0010-0000-0100-000023000000}" name="Доплаты" dataDxfId="32"/>
    <tableColumn id="36" xr3:uid="{00000000-0010-0000-0100-000024000000}" name="Виды логистики, штрафов и доплат" dataDxfId="31"/>
    <tableColumn id="37" xr3:uid="{00000000-0010-0000-0100-000025000000}" name="Стикер МП" dataDxfId="30"/>
    <tableColumn id="38" xr3:uid="{00000000-0010-0000-0100-000026000000}" name="Наименование банка-эквайера" dataDxfId="29"/>
    <tableColumn id="39" xr3:uid="{00000000-0010-0000-0100-000027000000}" name="Номер офиса" dataDxfId="28"/>
    <tableColumn id="40" xr3:uid="{00000000-0010-0000-0100-000028000000}" name="Наименование офиса доставки" dataDxfId="27"/>
    <tableColumn id="41" xr3:uid="{00000000-0010-0000-0100-000029000000}" name="ИНН партнера" dataDxfId="26"/>
    <tableColumn id="42" xr3:uid="{00000000-0010-0000-0100-00002A000000}" name="Партнер" dataDxfId="25"/>
    <tableColumn id="43" xr3:uid="{00000000-0010-0000-0100-00002B000000}" name="Склад" dataDxfId="24"/>
    <tableColumn id="44" xr3:uid="{00000000-0010-0000-0100-00002C000000}" name="Страна" dataDxfId="23"/>
    <tableColumn id="45" xr3:uid="{00000000-0010-0000-0100-00002D000000}" name="Тип коробов" dataDxfId="22"/>
    <tableColumn id="46" xr3:uid="{00000000-0010-0000-0100-00002E000000}" name="Номер таможенной декларации" dataDxfId="21"/>
    <tableColumn id="47" xr3:uid="{00000000-0010-0000-0100-00002F000000}" name="ШК" dataDxfId="20"/>
    <tableColumn id="48" xr3:uid="{00000000-0010-0000-0100-000030000000}" name="Rid" dataDxfId="19"/>
    <tableColumn id="49" xr3:uid="{00000000-0010-0000-0100-000031000000}" name="Srid" dataDxfId="18"/>
    <tableColumn id="62" xr3:uid="{00000000-0010-0000-0100-00003E000000}" name="Хранение"/>
    <tableColumn id="63" xr3:uid="{00000000-0010-0000-0100-00003F000000}" name="Удержания"/>
    <tableColumn id="64" xr3:uid="{00000000-0010-0000-0100-000040000000}" name="Платная приемка"/>
    <tableColumn id="50" xr3:uid="{00000000-0010-0000-0100-000032000000}" name="Продажи, шт" dataDxfId="17">
      <calculatedColumnFormula>IF(OR(Details[[#This Row],[Обоснование для оплаты]]="Продажа",Details[[#This Row],[Обоснование для оплаты]]="Компенсация подмененного товара"),Details[[#This Row],[Кол-во]],0)+
IF(Details[[#This Row],[Обоснование для оплаты]]="Частичная компенсация брака",IF(COUNTIF(INDIRECT(ADDRESS(1,COLUMN(Details[[#This Row],[ШК]]),2) &amp;":"&amp; ADDRESS(ROW(Details[[#This Row],[ШК]]),COLUMN(Details[[#This Row],[ШК]]))),Details[[#This Row],[ШК]])&gt;1,0,1),0)</calculatedColumnFormula>
    </tableColumn>
    <tableColumn id="51" xr3:uid="{00000000-0010-0000-0100-000033000000}" name="Возвраты, шт" dataDxfId="16">
      <calculatedColumnFormula>IF(Details[[#This Row],[Обоснование для оплаты]]="Возврат",Details[[#This Row],[Кол-во]],0)</calculatedColumnFormula>
    </tableColumn>
    <tableColumn id="52" xr3:uid="{00000000-0010-0000-0100-000034000000}" name="Продажи, руб" dataDxfId="15">
      <calculatedColumnFormula>IF(Details[[#This Row],[Тип документа]]="Продажа",Details[[#This Row],[Вайлдберриз реализовал Товар (Пр)]],0)</calculatedColumnFormula>
    </tableColumn>
    <tableColumn id="53" xr3:uid="{00000000-0010-0000-0100-000035000000}" name="Возвраты, руб" dataDxfId="14">
      <calculatedColumnFormula>IF(Details[[#This Row],[Тип документа]]="Возврат",Details[[#This Row],[Вайлдберриз реализовал Товар (Пр)]],0)</calculatedColumnFormula>
    </tableColumn>
    <tableColumn id="54" xr3:uid="{00000000-0010-0000-0100-000036000000}" name="Сумма реализации" dataDxfId="13">
      <calculatedColumnFormula>Details[[#This Row],[Продажи, руб]]-Details[[#This Row],[Возвраты, руб]]</calculatedColumnFormula>
    </tableColumn>
    <tableColumn id="55" xr3:uid="{00000000-0010-0000-0100-000037000000}" name="Комиссия ВБ" dataDxfId="12">
      <calculatedColumnFormula>Details[[#This Row],[Сумма реализации]]-Details[[#This Row],[К перечислению]]</calculatedColumnFormula>
    </tableColumn>
    <tableColumn id="61" xr3:uid="{00000000-0010-0000-0100-00003D000000}" name="Логистика" dataDxfId="11">
      <calculatedColumnFormula>IF(Details[[#This Row],[Обоснование для оплаты]] = "Логистика", Details[[#This Row],[Услуги по доставке товара покупателю]], -Details[[#This Row],[Услуги по доставке товара покупателю]])</calculatedColumnFormula>
    </tableColumn>
    <tableColumn id="56" xr3:uid="{00000000-0010-0000-0100-000038000000}" name="К перечислению" dataDxfId="10">
      <calculatedColumnFormula>IF(Details[[#This Row],[Тип документа]]="Продажа",Details[[#This Row],[К перечислению Продавцу за реализованный Товар]], - ABS(Details[[#This Row],[К перечислению Продавцу за реализованный Товар]]) )</calculatedColumnFormula>
    </tableColumn>
    <tableColumn id="66" xr3:uid="{00000000-0010-0000-0100-000042000000}" name="Итого к оплате" dataDxfId="9">
      <calculatedColumnFormula>Details[[#This Row],[К перечислению]]-Details[[#This Row],[Логистика]]-ABS(Details[[#This Row],[Общая сумма штрафов]])-Details[[#This Row],[Хранение, руб.]]-Details[[#This Row],[Проч.удержания, руб.]]-Details[[#This Row],[Платная приемка, руб.]]+Details[[#This Row],[Доплаты]]</calculatedColumnFormula>
    </tableColumn>
    <tableColumn id="57" xr3:uid="{00000000-0010-0000-0100-000039000000}" name="Налог" dataDxfId="8">
      <calculatedColumnFormula>Details[[#This Row],[Сумма реализации]] * Tax_Rate</calculatedColumnFormula>
    </tableColumn>
    <tableColumn id="58" xr3:uid="{00000000-0010-0000-0100-00003A000000}" name="Себестоимость" dataDxfId="7">
      <calculatedColumnFormula>IFERROR(
    IFERROR(
        IFERROR(
            INDEX(Net_Cost[Себестоимость],MATCH(Details[[#This Row],[Баркод]],Net_Cost[Баркод],0)),
            INDEX(Net_Cost[Себестоимость],MATCH(Details[[#This Row],[Код номенклатуры]],Net_Cost[Артикул WB],0))),
            INDEX(Net_Cost[Себестоимость],MATCH(Details[[#This Row],[Артикул поставщика]],Net_Cost[Артикул поставщика],0))),
  "")</calculatedColumnFormula>
    </tableColumn>
    <tableColumn id="59" xr3:uid="{00000000-0010-0000-0100-00003B000000}" name="Себестоимость реализации" dataDxfId="6">
      <calculatedColumnFormula>IFERROR(Details[[#This Row],[Себестоимость]] * Details[[#This Row],[Продажи, шт]] - Details[[#This Row],[Себестоимость]] * Details[[#This Row],[Возвраты, шт]],0)</calculatedColumnFormula>
    </tableColumn>
    <tableColumn id="60" xr3:uid="{00000000-0010-0000-0100-00003C000000}" name="Прибыль" dataDxfId="5">
      <calculatedColumnFormula>Details[[#This Row],[Итого к оплате]]-Details[[#This Row],[Налог]]-Details[[#This Row],[Себестоимость реализации]]</calculatedColumnFormula>
    </tableColumn>
    <tableColumn id="65" xr3:uid="{00000000-0010-0000-0100-000041000000}" name="Хранение, руб." dataDxfId="4">
      <calculatedColumnFormula>IF(Details[[#This Row],[Обоснование для оплаты]]="Продажа",(SUM(Details[Хранение])/(SUMIF(Details[Обоснование для оплаты],"Продажа",Details[Продажи, шт]))*Details[[#This Row],[Продажи, шт]]),0)</calculatedColumnFormula>
    </tableColumn>
    <tableColumn id="67" xr3:uid="{00000000-0010-0000-0100-000043000000}" name="Проч.удержания, руб." dataDxfId="3">
      <calculatedColumnFormula>IF(Details[[#This Row],[Обоснование для оплаты]]="Продажа",(SUM(Details[Удержания])/SUMIF(Details[Обоснование для оплаты],"Продажа",Details[Продажи, шт])*Details[[#This Row],[Продажи, шт]]),0)</calculatedColumnFormula>
    </tableColumn>
    <tableColumn id="68" xr3:uid="{00000000-0010-0000-0100-000044000000}" name="Платная приемка, руб." dataDxfId="2">
      <calculatedColumnFormula>IF(Details[[#This Row],[Обоснование для оплаты]]="Продажа",(SUM(Details[Платная приемка])/SUMIF(Details[Обоснование для оплаты],"Продажа",Details[Продажи, шт])*Details[[#This Row],[Продажи, шт]]),0)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Net_Cost" displayName="Net_Cost" ref="A1:J1987" totalsRowShown="0" headerRowDxfId="1">
  <autoFilter ref="A1:J1987" xr:uid="{00000000-0009-0000-0100-000002000000}"/>
  <sortState xmlns:xlrd2="http://schemas.microsoft.com/office/spreadsheetml/2017/richdata2" ref="A2:J1987">
    <sortCondition ref="D2:D1987"/>
  </sortState>
  <tableColumns count="10">
    <tableColumn id="1" xr3:uid="{00000000-0010-0000-0200-000001000000}" name="Бренд"/>
    <tableColumn id="2" xr3:uid="{00000000-0010-0000-0200-000002000000}" name="Предмет"/>
    <tableColumn id="3" xr3:uid="{00000000-0010-0000-0200-000003000000}" name="Код размера (chrt_id)"/>
    <tableColumn id="4" xr3:uid="{00000000-0010-0000-0200-000004000000}" name="Артикул поставщика"/>
    <tableColumn id="5" xr3:uid="{00000000-0010-0000-0200-000005000000}" name="Артикул WB"/>
    <tableColumn id="6" xr3:uid="{00000000-0010-0000-0200-000006000000}" name="Размер"/>
    <tableColumn id="7" xr3:uid="{00000000-0010-0000-0200-000007000000}" name="Баркод"/>
    <tableColumn id="8" xr3:uid="{00000000-0010-0000-0200-000008000000}" name="Себестоимость" dataDxfId="0"/>
    <tableColumn id="9" xr3:uid="{00000000-0010-0000-0200-000009000000}" name="Столбец1"/>
    <tableColumn id="10" xr3:uid="{00000000-0010-0000-0200-00000A000000}" name="Столбец2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Relationship Id="rId5" Type="http://schemas.microsoft.com/office/2007/relationships/slicer" Target="../slicers/slicer1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1">
    <tabColor rgb="FF7030A0"/>
  </sheetPr>
  <dimension ref="A1:D18"/>
  <sheetViews>
    <sheetView tabSelected="1" zoomScale="88" zoomScaleNormal="80" workbookViewId="0">
      <selection activeCell="C12" sqref="C12"/>
    </sheetView>
  </sheetViews>
  <sheetFormatPr baseColWidth="10" defaultColWidth="0" defaultRowHeight="15" zeroHeight="1" x14ac:dyDescent="0.2"/>
  <cols>
    <col min="1" max="1" width="3.6640625" style="8" customWidth="1"/>
    <col min="2" max="2" width="52.6640625" style="5" bestFit="1" customWidth="1"/>
    <col min="3" max="3" width="42.5" style="5" customWidth="1"/>
    <col min="4" max="4" width="38.1640625" style="8" bestFit="1" customWidth="1"/>
    <col min="5" max="16384" width="9.1640625" style="5" hidden="1"/>
  </cols>
  <sheetData>
    <row r="1" spans="2:4" s="8" customFormat="1" ht="102.75" customHeight="1" x14ac:dyDescent="0.2">
      <c r="B1" s="42"/>
      <c r="C1" s="42"/>
      <c r="D1" s="25"/>
    </row>
    <row r="2" spans="2:4" ht="29" x14ac:dyDescent="0.35">
      <c r="B2" s="28" t="s">
        <v>69</v>
      </c>
      <c r="C2" s="13">
        <v>0.06</v>
      </c>
      <c r="D2" s="26" t="s">
        <v>72</v>
      </c>
    </row>
    <row r="3" spans="2:4" ht="29" x14ac:dyDescent="0.35">
      <c r="B3" s="29" t="s">
        <v>57</v>
      </c>
      <c r="C3" s="10">
        <f>SUM(Details[Сумма реализации])</f>
        <v>0</v>
      </c>
      <c r="D3" s="11"/>
    </row>
    <row r="4" spans="2:4" ht="29" x14ac:dyDescent="0.35">
      <c r="B4" s="29" t="s">
        <v>68</v>
      </c>
      <c r="C4" s="10">
        <f>SUM(Details[Комиссия ВБ])</f>
        <v>0</v>
      </c>
      <c r="D4" s="11"/>
    </row>
    <row r="5" spans="2:4" ht="29" x14ac:dyDescent="0.35">
      <c r="B5" s="29" t="s">
        <v>58</v>
      </c>
      <c r="C5" s="10">
        <f>SUM(Details[К перечислению])</f>
        <v>0</v>
      </c>
      <c r="D5" s="11"/>
    </row>
    <row r="6" spans="2:4" ht="29" x14ac:dyDescent="0.35">
      <c r="B6" s="29" t="s">
        <v>59</v>
      </c>
      <c r="C6" s="10">
        <f>SUM(Details[Логистика])</f>
        <v>186</v>
      </c>
      <c r="D6" s="11"/>
    </row>
    <row r="7" spans="2:4" ht="29" x14ac:dyDescent="0.35">
      <c r="B7" s="29" t="s">
        <v>60</v>
      </c>
      <c r="C7" s="10">
        <f>ABS(SUM(Details[Общая сумма штрафов]))</f>
        <v>0</v>
      </c>
    </row>
    <row r="8" spans="2:4" ht="29" x14ac:dyDescent="0.35">
      <c r="B8" s="29" t="s">
        <v>61</v>
      </c>
      <c r="C8" s="10">
        <f>SUM(Details[Доплаты])</f>
        <v>0</v>
      </c>
      <c r="D8" s="11"/>
    </row>
    <row r="9" spans="2:4" ht="29" x14ac:dyDescent="0.35">
      <c r="B9" s="29" t="s">
        <v>62</v>
      </c>
      <c r="C9" s="12">
        <f>SUM(Details[Хранение])</f>
        <v>0</v>
      </c>
      <c r="D9" s="9"/>
    </row>
    <row r="10" spans="2:4" ht="29" x14ac:dyDescent="0.35">
      <c r="B10" s="29" t="s">
        <v>84</v>
      </c>
      <c r="C10" s="12">
        <f>SUM(Details[Платная приемка])</f>
        <v>0</v>
      </c>
      <c r="D10" s="9"/>
    </row>
    <row r="11" spans="2:4" ht="29" x14ac:dyDescent="0.35">
      <c r="B11" s="29" t="s">
        <v>63</v>
      </c>
      <c r="C11" s="12">
        <f>SUM(Details[Удержания])</f>
        <v>0</v>
      </c>
    </row>
    <row r="12" spans="2:4" ht="29" x14ac:dyDescent="0.35">
      <c r="B12" s="29" t="s">
        <v>64</v>
      </c>
      <c r="C12" s="10">
        <f>Enumeration - Logostic - Penalty - Storage - Inspection - Else_Comissions + Bonus</f>
        <v>-186</v>
      </c>
      <c r="D12" s="11"/>
    </row>
    <row r="13" spans="2:4" ht="29" x14ac:dyDescent="0.35">
      <c r="B13" s="29" t="s">
        <v>65</v>
      </c>
      <c r="C13" s="32">
        <f ca="1">SUM(Details[Себестоимость реализации])</f>
        <v>0</v>
      </c>
      <c r="D13" s="33" t="s">
        <v>1042</v>
      </c>
    </row>
    <row r="14" spans="2:4" ht="29" x14ac:dyDescent="0.35">
      <c r="B14" s="29" t="s">
        <v>66</v>
      </c>
      <c r="C14" s="32">
        <f>Revenue*Tax_Rate</f>
        <v>0</v>
      </c>
      <c r="D14" s="34">
        <f>Поартикульно!H8</f>
        <v>0</v>
      </c>
    </row>
    <row r="15" spans="2:4" ht="29" x14ac:dyDescent="0.35">
      <c r="B15" s="29" t="s">
        <v>67</v>
      </c>
      <c r="C15" s="32">
        <f ca="1">To_Be_Paid - Realization_Netcost-Tax</f>
        <v>-186</v>
      </c>
      <c r="D15" s="34">
        <f>Поартикульно!H9</f>
        <v>-186</v>
      </c>
    </row>
    <row r="16" spans="2:4" ht="29" x14ac:dyDescent="0.35">
      <c r="B16" s="29" t="s">
        <v>70</v>
      </c>
      <c r="C16" s="13" t="e">
        <f ca="1">Profit / Revenue</f>
        <v>#DIV/0!</v>
      </c>
      <c r="D16" s="11"/>
    </row>
    <row r="17" spans="2:4" ht="29" x14ac:dyDescent="0.35">
      <c r="B17" s="29" t="s">
        <v>71</v>
      </c>
      <c r="C17" s="13" t="e">
        <f ca="1">Profit / Realization_Netcost</f>
        <v>#DIV/0!</v>
      </c>
      <c r="D17" s="11"/>
    </row>
    <row r="18" spans="2:4" s="8" customFormat="1" x14ac:dyDescent="0.2"/>
  </sheetData>
  <mergeCells count="1">
    <mergeCell ref="B1:C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7111"/>
  <dimension ref="A1:BI16"/>
  <sheetViews>
    <sheetView topLeftCell="J1" workbookViewId="0">
      <selection activeCell="AD17" sqref="AD17"/>
    </sheetView>
  </sheetViews>
  <sheetFormatPr baseColWidth="10" defaultColWidth="11.5" defaultRowHeight="15" x14ac:dyDescent="0.2"/>
  <cols>
    <col min="2" max="2" width="16.33203125" customWidth="1"/>
    <col min="4" max="4" width="18.6640625" customWidth="1"/>
    <col min="6" max="6" width="19.6640625" customWidth="1"/>
    <col min="7" max="7" width="11" customWidth="1"/>
    <col min="10" max="10" width="15.1640625" customWidth="1"/>
    <col min="11" max="11" width="23.5" customWidth="1"/>
    <col min="12" max="12" width="23.1640625" customWidth="1"/>
    <col min="13" max="13" width="14.5" customWidth="1"/>
    <col min="15" max="15" width="16.1640625" customWidth="1"/>
    <col min="16" max="16" width="32.1640625" customWidth="1"/>
    <col min="17" max="17" width="35.5" customWidth="1"/>
    <col min="18" max="18" width="13.5" customWidth="1"/>
    <col min="19" max="19" width="30.1640625" customWidth="1"/>
    <col min="20" max="20" width="41.33203125" customWidth="1"/>
    <col min="21" max="21" width="35.6640625" customWidth="1"/>
    <col min="22" max="22" width="14.83203125" customWidth="1"/>
    <col min="23" max="23" width="29.1640625" customWidth="1"/>
    <col min="24" max="24" width="23.33203125" customWidth="1"/>
    <col min="25" max="25" width="55.5" customWidth="1"/>
    <col min="26" max="26" width="41.83203125" customWidth="1"/>
    <col min="27" max="27" width="34" customWidth="1"/>
    <col min="28" max="28" width="38.6640625" customWidth="1"/>
    <col min="29" max="29" width="32.6640625" customWidth="1"/>
    <col min="30" max="30" width="44.6640625" customWidth="1"/>
    <col min="31" max="31" width="20" customWidth="1"/>
    <col min="32" max="32" width="19.83203125" customWidth="1"/>
    <col min="33" max="33" width="33.83203125" customWidth="1"/>
    <col min="34" max="34" width="21.5" customWidth="1"/>
    <col min="36" max="36" width="31" customWidth="1"/>
    <col min="37" max="37" width="12.1640625" customWidth="1"/>
    <col min="38" max="38" width="28" customWidth="1"/>
    <col min="39" max="39" width="14.1640625" customWidth="1"/>
    <col min="40" max="40" width="28" customWidth="1"/>
    <col min="41" max="41" width="14.6640625" customWidth="1"/>
    <col min="45" max="45" width="13.33203125" customWidth="1"/>
    <col min="46" max="46" width="29.33203125" customWidth="1"/>
    <col min="50" max="50" width="13.6640625" customWidth="1"/>
    <col min="51" max="51" width="13.83203125" customWidth="1"/>
    <col min="52" max="52" width="14.5" customWidth="1"/>
    <col min="53" max="53" width="14.6640625" customWidth="1"/>
    <col min="54" max="54" width="18.6640625" customWidth="1"/>
    <col min="55" max="55" width="13.6640625" customWidth="1"/>
    <col min="56" max="56" width="11.5" customWidth="1"/>
    <col min="57" max="57" width="16.83203125" customWidth="1"/>
    <col min="59" max="59" width="15.6640625" customWidth="1"/>
    <col min="60" max="60" width="25.5" customWidth="1"/>
  </cols>
  <sheetData>
    <row r="1" spans="1:6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1001</v>
      </c>
      <c r="T1" t="s">
        <v>18</v>
      </c>
      <c r="U1" t="s">
        <v>1002</v>
      </c>
      <c r="V1" t="s">
        <v>19</v>
      </c>
      <c r="W1" t="s">
        <v>20</v>
      </c>
      <c r="X1" t="s">
        <v>21</v>
      </c>
      <c r="Y1" t="s">
        <v>22</v>
      </c>
      <c r="Z1" t="s">
        <v>23</v>
      </c>
      <c r="AA1" t="s">
        <v>1003</v>
      </c>
      <c r="AB1" t="s">
        <v>24</v>
      </c>
      <c r="AC1" t="s">
        <v>25</v>
      </c>
      <c r="AD1" t="s">
        <v>26</v>
      </c>
      <c r="AE1" t="s">
        <v>27</v>
      </c>
      <c r="AF1" t="s">
        <v>28</v>
      </c>
      <c r="AG1" t="s">
        <v>29</v>
      </c>
      <c r="AH1" t="s">
        <v>1004</v>
      </c>
      <c r="AI1" t="s">
        <v>30</v>
      </c>
      <c r="AJ1" t="s">
        <v>1005</v>
      </c>
      <c r="AK1" t="s">
        <v>31</v>
      </c>
      <c r="AL1" t="s">
        <v>1006</v>
      </c>
      <c r="AM1" t="s">
        <v>32</v>
      </c>
      <c r="AN1" t="s">
        <v>33</v>
      </c>
      <c r="AO1" t="s">
        <v>34</v>
      </c>
      <c r="AP1" t="s">
        <v>35</v>
      </c>
      <c r="AQ1" t="s">
        <v>36</v>
      </c>
      <c r="AR1" t="s">
        <v>37</v>
      </c>
      <c r="AS1" t="s">
        <v>38</v>
      </c>
      <c r="AT1" t="s">
        <v>39</v>
      </c>
      <c r="AU1" t="s">
        <v>40</v>
      </c>
      <c r="AV1" t="s">
        <v>41</v>
      </c>
      <c r="AW1" t="s">
        <v>42</v>
      </c>
      <c r="AX1" t="s">
        <v>46</v>
      </c>
      <c r="AY1" t="s">
        <v>47</v>
      </c>
      <c r="AZ1" t="s">
        <v>48</v>
      </c>
      <c r="BA1" t="s">
        <v>49</v>
      </c>
      <c r="BB1" t="s">
        <v>50</v>
      </c>
      <c r="BC1" t="s">
        <v>51</v>
      </c>
      <c r="BD1" t="s">
        <v>56</v>
      </c>
      <c r="BE1" t="s">
        <v>52</v>
      </c>
      <c r="BF1" t="s">
        <v>53</v>
      </c>
      <c r="BG1" t="s">
        <v>45</v>
      </c>
      <c r="BH1" t="s">
        <v>54</v>
      </c>
      <c r="BI1" t="s">
        <v>55</v>
      </c>
    </row>
    <row r="2" spans="1:61" x14ac:dyDescent="0.2">
      <c r="A2" t="s">
        <v>1039</v>
      </c>
      <c r="B2">
        <v>0</v>
      </c>
      <c r="C2" t="s">
        <v>167</v>
      </c>
      <c r="D2">
        <v>172125831</v>
      </c>
      <c r="E2" t="s">
        <v>88</v>
      </c>
      <c r="F2" t="s">
        <v>988</v>
      </c>
      <c r="G2" t="s">
        <v>1000</v>
      </c>
      <c r="H2" t="s">
        <v>583</v>
      </c>
      <c r="I2" t="s">
        <v>990</v>
      </c>
      <c r="J2" t="s">
        <v>1019</v>
      </c>
      <c r="K2" t="s">
        <v>1019</v>
      </c>
      <c r="L2" t="s">
        <v>1025</v>
      </c>
      <c r="M2" t="s">
        <v>1036</v>
      </c>
      <c r="N2">
        <v>1</v>
      </c>
      <c r="O2">
        <v>5400</v>
      </c>
      <c r="P2">
        <v>4320</v>
      </c>
      <c r="Q2">
        <v>0</v>
      </c>
      <c r="S2">
        <v>0</v>
      </c>
      <c r="T2">
        <v>5400</v>
      </c>
      <c r="U2">
        <v>0.16669999999999999</v>
      </c>
      <c r="V2">
        <v>25</v>
      </c>
      <c r="W2">
        <v>0.20830000000000001</v>
      </c>
      <c r="X2">
        <v>4.1599999999999998E-2</v>
      </c>
      <c r="Y2">
        <v>225</v>
      </c>
      <c r="Z2">
        <v>0</v>
      </c>
      <c r="AA2">
        <v>23.76</v>
      </c>
      <c r="AB2">
        <v>205.2</v>
      </c>
      <c r="AC2">
        <v>41.04</v>
      </c>
      <c r="AD2">
        <v>4050</v>
      </c>
      <c r="AE2">
        <v>0</v>
      </c>
      <c r="AF2">
        <v>0</v>
      </c>
      <c r="AG2">
        <v>0</v>
      </c>
      <c r="AH2">
        <v>0</v>
      </c>
      <c r="AI2">
        <v>0</v>
      </c>
      <c r="AK2" t="s">
        <v>1018</v>
      </c>
      <c r="AM2">
        <v>109408</v>
      </c>
      <c r="AQ2" t="s">
        <v>86</v>
      </c>
      <c r="AR2" t="s">
        <v>1009</v>
      </c>
      <c r="AU2">
        <v>12974653651</v>
      </c>
      <c r="AW2" t="s">
        <v>1038</v>
      </c>
      <c r="AX2">
        <v>1</v>
      </c>
      <c r="AY2">
        <v>0</v>
      </c>
      <c r="AZ2">
        <v>4320</v>
      </c>
      <c r="BA2">
        <v>0</v>
      </c>
      <c r="BB2">
        <v>4320</v>
      </c>
      <c r="BC2">
        <v>270</v>
      </c>
      <c r="BD2">
        <v>0</v>
      </c>
      <c r="BE2">
        <v>4050</v>
      </c>
      <c r="BF2">
        <v>259.2</v>
      </c>
      <c r="BG2">
        <v>3200</v>
      </c>
      <c r="BH2">
        <v>3200</v>
      </c>
      <c r="BI2">
        <v>590.80000000000018</v>
      </c>
    </row>
    <row r="3" spans="1:61" x14ac:dyDescent="0.2">
      <c r="A3" t="s">
        <v>1037</v>
      </c>
      <c r="B3">
        <v>0</v>
      </c>
      <c r="C3" t="s">
        <v>167</v>
      </c>
      <c r="D3">
        <v>172125831</v>
      </c>
      <c r="E3" t="s">
        <v>88</v>
      </c>
      <c r="F3" t="s">
        <v>988</v>
      </c>
      <c r="G3" t="s">
        <v>1000</v>
      </c>
      <c r="H3" t="s">
        <v>583</v>
      </c>
      <c r="I3" t="s">
        <v>990</v>
      </c>
      <c r="K3" t="s">
        <v>1017</v>
      </c>
      <c r="L3" t="s">
        <v>1025</v>
      </c>
      <c r="M3" t="s">
        <v>1036</v>
      </c>
      <c r="N3">
        <v>0</v>
      </c>
      <c r="O3">
        <v>0</v>
      </c>
      <c r="P3">
        <v>0</v>
      </c>
      <c r="Q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1</v>
      </c>
      <c r="AF3">
        <v>0</v>
      </c>
      <c r="AG3">
        <v>223.2</v>
      </c>
      <c r="AH3">
        <v>0</v>
      </c>
      <c r="AI3">
        <v>0</v>
      </c>
      <c r="AJ3" t="s">
        <v>1010</v>
      </c>
      <c r="AK3" t="s">
        <v>1018</v>
      </c>
      <c r="AM3">
        <v>109408</v>
      </c>
      <c r="AQ3" t="s">
        <v>86</v>
      </c>
      <c r="AR3" t="s">
        <v>1009</v>
      </c>
      <c r="AU3">
        <v>12974653651</v>
      </c>
      <c r="AW3" t="s">
        <v>1038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223.2</v>
      </c>
      <c r="BE3">
        <v>0</v>
      </c>
      <c r="BF3">
        <v>0</v>
      </c>
      <c r="BG3">
        <v>3200</v>
      </c>
      <c r="BH3">
        <v>0</v>
      </c>
      <c r="BI3">
        <v>-223.2</v>
      </c>
    </row>
    <row r="4" spans="1:61" x14ac:dyDescent="0.2">
      <c r="A4" t="s">
        <v>1035</v>
      </c>
      <c r="B4">
        <v>0</v>
      </c>
      <c r="C4" t="s">
        <v>167</v>
      </c>
      <c r="D4">
        <v>172125831</v>
      </c>
      <c r="E4" t="s">
        <v>88</v>
      </c>
      <c r="F4" t="s">
        <v>988</v>
      </c>
      <c r="G4" t="s">
        <v>1000</v>
      </c>
      <c r="H4" t="s">
        <v>583</v>
      </c>
      <c r="I4" t="s">
        <v>990</v>
      </c>
      <c r="K4" t="s">
        <v>1017</v>
      </c>
      <c r="L4" t="s">
        <v>1029</v>
      </c>
      <c r="M4" t="s">
        <v>1032</v>
      </c>
      <c r="N4">
        <v>0</v>
      </c>
      <c r="O4">
        <v>0</v>
      </c>
      <c r="P4">
        <v>0</v>
      </c>
      <c r="Q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1</v>
      </c>
      <c r="AG4">
        <v>50</v>
      </c>
      <c r="AH4">
        <v>0</v>
      </c>
      <c r="AI4">
        <v>0</v>
      </c>
      <c r="AJ4" t="s">
        <v>1011</v>
      </c>
      <c r="AK4" t="s">
        <v>1018</v>
      </c>
      <c r="AM4">
        <v>203437</v>
      </c>
      <c r="AQ4" t="s">
        <v>86</v>
      </c>
      <c r="AR4" t="s">
        <v>1009</v>
      </c>
      <c r="AU4">
        <v>11841504553</v>
      </c>
      <c r="AW4" t="s">
        <v>1034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50</v>
      </c>
      <c r="BE4">
        <v>0</v>
      </c>
      <c r="BF4">
        <v>0</v>
      </c>
      <c r="BG4">
        <v>3200</v>
      </c>
      <c r="BH4">
        <v>0</v>
      </c>
      <c r="BI4">
        <v>-50</v>
      </c>
    </row>
    <row r="5" spans="1:61" x14ac:dyDescent="0.2">
      <c r="A5" t="s">
        <v>1033</v>
      </c>
      <c r="B5">
        <v>0</v>
      </c>
      <c r="C5" t="s">
        <v>167</v>
      </c>
      <c r="D5">
        <v>172125831</v>
      </c>
      <c r="E5" t="s">
        <v>88</v>
      </c>
      <c r="F5" t="s">
        <v>988</v>
      </c>
      <c r="G5" t="s">
        <v>1000</v>
      </c>
      <c r="H5" t="s">
        <v>583</v>
      </c>
      <c r="I5" t="s">
        <v>990</v>
      </c>
      <c r="K5" t="s">
        <v>1017</v>
      </c>
      <c r="L5" t="s">
        <v>1029</v>
      </c>
      <c r="M5" t="s">
        <v>1032</v>
      </c>
      <c r="N5">
        <v>0</v>
      </c>
      <c r="O5">
        <v>0</v>
      </c>
      <c r="P5">
        <v>0</v>
      </c>
      <c r="Q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1</v>
      </c>
      <c r="AF5">
        <v>0</v>
      </c>
      <c r="AG5">
        <v>223.2</v>
      </c>
      <c r="AH5">
        <v>0</v>
      </c>
      <c r="AI5">
        <v>0</v>
      </c>
      <c r="AJ5" t="s">
        <v>1012</v>
      </c>
      <c r="AK5" t="s">
        <v>1018</v>
      </c>
      <c r="AM5">
        <v>203437</v>
      </c>
      <c r="AQ5" t="s">
        <v>86</v>
      </c>
      <c r="AR5" t="s">
        <v>1009</v>
      </c>
      <c r="AU5">
        <v>11841504553</v>
      </c>
      <c r="AW5" t="s">
        <v>1034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223.2</v>
      </c>
      <c r="BE5">
        <v>0</v>
      </c>
      <c r="BF5">
        <v>0</v>
      </c>
      <c r="BG5">
        <v>3200</v>
      </c>
      <c r="BH5">
        <v>0</v>
      </c>
      <c r="BI5">
        <v>-223.2</v>
      </c>
    </row>
    <row r="6" spans="1:61" x14ac:dyDescent="0.2">
      <c r="A6" t="s">
        <v>1031</v>
      </c>
      <c r="B6">
        <v>0</v>
      </c>
      <c r="C6" t="s">
        <v>167</v>
      </c>
      <c r="D6">
        <v>172125831</v>
      </c>
      <c r="E6" t="s">
        <v>88</v>
      </c>
      <c r="F6" t="s">
        <v>988</v>
      </c>
      <c r="G6" t="s">
        <v>1000</v>
      </c>
      <c r="H6" t="s">
        <v>583</v>
      </c>
      <c r="I6" t="s">
        <v>990</v>
      </c>
      <c r="K6" t="s">
        <v>1017</v>
      </c>
      <c r="L6" t="s">
        <v>1023</v>
      </c>
      <c r="M6" t="s">
        <v>1026</v>
      </c>
      <c r="N6">
        <v>0</v>
      </c>
      <c r="O6">
        <v>0</v>
      </c>
      <c r="P6">
        <v>0</v>
      </c>
      <c r="Q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1</v>
      </c>
      <c r="AG6">
        <v>50</v>
      </c>
      <c r="AH6">
        <v>0</v>
      </c>
      <c r="AI6">
        <v>0</v>
      </c>
      <c r="AJ6" t="s">
        <v>1011</v>
      </c>
      <c r="AK6" t="s">
        <v>1018</v>
      </c>
      <c r="AM6">
        <v>203437</v>
      </c>
      <c r="AQ6" t="s">
        <v>986</v>
      </c>
      <c r="AR6" t="s">
        <v>1009</v>
      </c>
      <c r="AU6">
        <v>11841504557</v>
      </c>
      <c r="AW6" t="s">
        <v>1028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50</v>
      </c>
      <c r="BE6">
        <v>0</v>
      </c>
      <c r="BF6">
        <v>0</v>
      </c>
      <c r="BG6">
        <v>3200</v>
      </c>
      <c r="BH6">
        <v>0</v>
      </c>
      <c r="BI6">
        <v>-50</v>
      </c>
    </row>
    <row r="7" spans="1:61" x14ac:dyDescent="0.2">
      <c r="A7" t="s">
        <v>1030</v>
      </c>
      <c r="B7">
        <v>0</v>
      </c>
      <c r="C7" t="s">
        <v>167</v>
      </c>
      <c r="D7">
        <v>172125831</v>
      </c>
      <c r="E7" t="s">
        <v>88</v>
      </c>
      <c r="F7" t="s">
        <v>988</v>
      </c>
      <c r="G7" t="s">
        <v>1000</v>
      </c>
      <c r="H7" t="s">
        <v>583</v>
      </c>
      <c r="I7" t="s">
        <v>990</v>
      </c>
      <c r="K7" t="s">
        <v>1017</v>
      </c>
      <c r="L7" t="s">
        <v>1023</v>
      </c>
      <c r="M7" t="s">
        <v>1026</v>
      </c>
      <c r="N7">
        <v>0</v>
      </c>
      <c r="O7">
        <v>0</v>
      </c>
      <c r="P7">
        <v>0</v>
      </c>
      <c r="Q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1</v>
      </c>
      <c r="AF7">
        <v>0</v>
      </c>
      <c r="AG7">
        <v>260.39999999999998</v>
      </c>
      <c r="AH7">
        <v>0</v>
      </c>
      <c r="AI7">
        <v>0</v>
      </c>
      <c r="AJ7" t="s">
        <v>1012</v>
      </c>
      <c r="AK7" t="s">
        <v>1018</v>
      </c>
      <c r="AM7">
        <v>203437</v>
      </c>
      <c r="AQ7" t="s">
        <v>986</v>
      </c>
      <c r="AR7" t="s">
        <v>1009</v>
      </c>
      <c r="AU7">
        <v>11841504557</v>
      </c>
      <c r="AW7" t="s">
        <v>1028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260.39999999999998</v>
      </c>
      <c r="BE7">
        <v>0</v>
      </c>
      <c r="BF7">
        <v>0</v>
      </c>
      <c r="BG7">
        <v>3200</v>
      </c>
      <c r="BH7">
        <v>0</v>
      </c>
      <c r="BI7">
        <v>-260.39999999999998</v>
      </c>
    </row>
    <row r="8" spans="1:61" x14ac:dyDescent="0.2">
      <c r="A8" t="s">
        <v>1022</v>
      </c>
      <c r="B8">
        <v>0</v>
      </c>
      <c r="C8" t="s">
        <v>167</v>
      </c>
      <c r="D8">
        <v>172125831</v>
      </c>
      <c r="E8" t="s">
        <v>88</v>
      </c>
      <c r="F8" t="s">
        <v>988</v>
      </c>
      <c r="G8" t="s">
        <v>1000</v>
      </c>
      <c r="H8" t="s">
        <v>583</v>
      </c>
      <c r="I8" t="s">
        <v>990</v>
      </c>
      <c r="K8" t="s">
        <v>1017</v>
      </c>
      <c r="L8" t="s">
        <v>1024</v>
      </c>
      <c r="M8" t="s">
        <v>1026</v>
      </c>
      <c r="N8">
        <v>0</v>
      </c>
      <c r="O8">
        <v>0</v>
      </c>
      <c r="P8">
        <v>0</v>
      </c>
      <c r="Q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1</v>
      </c>
      <c r="AG8">
        <v>50</v>
      </c>
      <c r="AH8">
        <v>0</v>
      </c>
      <c r="AI8">
        <v>0</v>
      </c>
      <c r="AJ8" t="s">
        <v>1011</v>
      </c>
      <c r="AK8" t="s">
        <v>1018</v>
      </c>
      <c r="AM8">
        <v>170374</v>
      </c>
      <c r="AQ8" t="s">
        <v>86</v>
      </c>
      <c r="AR8" t="s">
        <v>1009</v>
      </c>
      <c r="AU8">
        <v>11841504559</v>
      </c>
      <c r="AW8" t="s">
        <v>1027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50</v>
      </c>
      <c r="BE8">
        <v>0</v>
      </c>
      <c r="BF8">
        <v>0</v>
      </c>
      <c r="BG8">
        <v>3200</v>
      </c>
      <c r="BH8">
        <v>0</v>
      </c>
      <c r="BI8">
        <v>-50</v>
      </c>
    </row>
    <row r="9" spans="1:61" x14ac:dyDescent="0.2">
      <c r="A9" t="s">
        <v>1021</v>
      </c>
      <c r="B9">
        <v>0</v>
      </c>
      <c r="C9" t="s">
        <v>167</v>
      </c>
      <c r="D9">
        <v>172125831</v>
      </c>
      <c r="E9" t="s">
        <v>88</v>
      </c>
      <c r="F9" t="s">
        <v>988</v>
      </c>
      <c r="G9" t="s">
        <v>1000</v>
      </c>
      <c r="H9" t="s">
        <v>583</v>
      </c>
      <c r="I9" t="s">
        <v>990</v>
      </c>
      <c r="K9" t="s">
        <v>1017</v>
      </c>
      <c r="L9" t="s">
        <v>1024</v>
      </c>
      <c r="M9" t="s">
        <v>1026</v>
      </c>
      <c r="N9">
        <v>0</v>
      </c>
      <c r="O9">
        <v>0</v>
      </c>
      <c r="P9">
        <v>0</v>
      </c>
      <c r="Q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1</v>
      </c>
      <c r="AF9">
        <v>0</v>
      </c>
      <c r="AG9">
        <v>223.2</v>
      </c>
      <c r="AH9">
        <v>0</v>
      </c>
      <c r="AI9">
        <v>0</v>
      </c>
      <c r="AJ9" t="s">
        <v>1012</v>
      </c>
      <c r="AK9" t="s">
        <v>1018</v>
      </c>
      <c r="AM9">
        <v>170374</v>
      </c>
      <c r="AQ9" t="s">
        <v>86</v>
      </c>
      <c r="AR9" t="s">
        <v>1009</v>
      </c>
      <c r="AU9">
        <v>11841504559</v>
      </c>
      <c r="AW9" t="s">
        <v>1027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223.2</v>
      </c>
      <c r="BE9">
        <v>0</v>
      </c>
      <c r="BF9">
        <v>0</v>
      </c>
      <c r="BG9">
        <v>3200</v>
      </c>
      <c r="BH9">
        <v>0</v>
      </c>
      <c r="BI9">
        <v>-223.2</v>
      </c>
    </row>
    <row r="16" spans="1:61" x14ac:dyDescent="0.2">
      <c r="AD16">
        <f>AD2-O2</f>
        <v>-1350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2111111">
    <tabColor theme="8" tint="-0.249977111117893"/>
  </sheetPr>
  <dimension ref="A1:T128"/>
  <sheetViews>
    <sheetView workbookViewId="0">
      <pane ySplit="11" topLeftCell="A12" activePane="bottomLeft" state="frozen"/>
      <selection pane="bottomLeft" activeCell="O11" sqref="O11"/>
    </sheetView>
  </sheetViews>
  <sheetFormatPr baseColWidth="10" defaultColWidth="9.1640625" defaultRowHeight="15" x14ac:dyDescent="0.2"/>
  <cols>
    <col min="1" max="1" width="32.33203125" bestFit="1" customWidth="1"/>
    <col min="2" max="2" width="15.33203125" bestFit="1" customWidth="1"/>
    <col min="3" max="3" width="7.33203125" customWidth="1"/>
    <col min="4" max="4" width="9" bestFit="1" customWidth="1"/>
    <col min="5" max="5" width="7.33203125" customWidth="1"/>
    <col min="6" max="6" width="10.5" bestFit="1" customWidth="1"/>
    <col min="7" max="7" width="9.5" bestFit="1" customWidth="1"/>
    <col min="8" max="8" width="11.33203125" customWidth="1"/>
    <col min="9" max="9" width="9" bestFit="1" customWidth="1"/>
    <col min="10" max="10" width="14" customWidth="1"/>
    <col min="11" max="11" width="11.33203125" customWidth="1"/>
    <col min="12" max="12" width="11" customWidth="1"/>
    <col min="14" max="14" width="8.33203125" customWidth="1"/>
    <col min="15" max="16" width="9.1640625" style="17"/>
    <col min="17" max="17" width="10" style="17" bestFit="1" customWidth="1"/>
    <col min="18" max="16384" width="9.1640625" style="17"/>
  </cols>
  <sheetData>
    <row r="1" spans="1:20" x14ac:dyDescent="0.2">
      <c r="A1" s="17"/>
      <c r="B1" s="17"/>
      <c r="C1" s="17"/>
      <c r="D1" s="17"/>
      <c r="E1" s="17"/>
      <c r="F1" s="43" t="s">
        <v>73</v>
      </c>
      <c r="G1" s="43"/>
      <c r="H1" s="36">
        <f>SUM(F11:F1000000)</f>
        <v>0</v>
      </c>
      <c r="I1" s="17"/>
      <c r="J1" s="17"/>
      <c r="K1" s="17"/>
      <c r="L1" s="17"/>
      <c r="M1" s="17"/>
      <c r="N1" s="17"/>
    </row>
    <row r="2" spans="1:20" x14ac:dyDescent="0.2">
      <c r="A2" s="17"/>
      <c r="B2" s="17"/>
      <c r="C2" s="17"/>
      <c r="D2" s="17"/>
      <c r="E2" s="17"/>
      <c r="F2" s="43" t="s">
        <v>74</v>
      </c>
      <c r="G2" s="43"/>
      <c r="H2" s="36">
        <f>SUM(G11:G1000000)</f>
        <v>0</v>
      </c>
      <c r="I2" s="17"/>
      <c r="J2" s="17"/>
      <c r="K2" s="17"/>
      <c r="L2" s="17"/>
      <c r="M2" s="17"/>
      <c r="N2" s="17"/>
    </row>
    <row r="3" spans="1:20" x14ac:dyDescent="0.2">
      <c r="A3" s="17"/>
      <c r="B3" s="17"/>
      <c r="C3" s="17"/>
      <c r="D3" s="17"/>
      <c r="E3" s="17"/>
      <c r="F3" s="43" t="s">
        <v>85</v>
      </c>
      <c r="G3" s="43"/>
      <c r="H3" s="36">
        <f>SUM(H11:H1000000)</f>
        <v>186</v>
      </c>
      <c r="I3" s="17"/>
      <c r="J3" s="17"/>
      <c r="K3" s="17"/>
      <c r="L3" s="17"/>
      <c r="M3" s="17"/>
      <c r="N3" s="17"/>
    </row>
    <row r="4" spans="1:20" x14ac:dyDescent="0.2">
      <c r="A4" s="17"/>
      <c r="B4" s="17"/>
      <c r="C4" s="17"/>
      <c r="D4" s="17"/>
      <c r="E4" s="17"/>
      <c r="F4" s="43" t="s">
        <v>1043</v>
      </c>
      <c r="G4" s="43"/>
      <c r="H4" s="36">
        <f>SUM(I11:I1000000)</f>
        <v>0</v>
      </c>
      <c r="I4" s="17"/>
      <c r="J4" s="17" t="s">
        <v>1050</v>
      </c>
      <c r="K4" s="35">
        <f>H7</f>
        <v>0</v>
      </c>
      <c r="L4" s="17"/>
      <c r="M4" s="17"/>
      <c r="N4" s="17"/>
    </row>
    <row r="5" spans="1:20" x14ac:dyDescent="0.2">
      <c r="A5" s="17"/>
      <c r="B5" s="17"/>
      <c r="C5" s="17"/>
      <c r="D5" s="17"/>
      <c r="E5" s="17"/>
      <c r="F5" s="43" t="s">
        <v>1044</v>
      </c>
      <c r="G5" s="43"/>
      <c r="H5" s="36">
        <f>SUM(J11:J1000000)</f>
        <v>0</v>
      </c>
      <c r="I5" s="17"/>
      <c r="J5" s="17" t="s">
        <v>1051</v>
      </c>
      <c r="K5" s="37">
        <f>SUM(D12:D1000000)-SUM(E12:E1000000)</f>
        <v>0</v>
      </c>
      <c r="L5" s="17"/>
      <c r="M5" s="17"/>
      <c r="N5" s="17"/>
    </row>
    <row r="6" spans="1:20" x14ac:dyDescent="0.2">
      <c r="A6" s="17"/>
      <c r="B6" s="17"/>
      <c r="C6" s="17"/>
      <c r="D6" s="17"/>
      <c r="E6" s="17"/>
      <c r="F6" s="43" t="s">
        <v>1045</v>
      </c>
      <c r="G6" s="43"/>
      <c r="H6" s="36">
        <f>SUM(K11:K1000000)</f>
        <v>0</v>
      </c>
      <c r="I6" s="17"/>
      <c r="J6" s="17" t="s">
        <v>1052</v>
      </c>
      <c r="K6" s="35">
        <f>H7+H9</f>
        <v>-186</v>
      </c>
      <c r="L6" s="17"/>
      <c r="M6" s="17"/>
      <c r="N6" s="17"/>
    </row>
    <row r="7" spans="1:20" x14ac:dyDescent="0.2">
      <c r="A7" s="17"/>
      <c r="B7" s="17"/>
      <c r="C7" s="17"/>
      <c r="D7" s="17"/>
      <c r="E7" s="17"/>
      <c r="F7" s="43" t="s">
        <v>1046</v>
      </c>
      <c r="G7" s="43"/>
      <c r="H7" s="36">
        <f>SUM(M11:M1000000)</f>
        <v>0</v>
      </c>
      <c r="I7" s="17"/>
      <c r="J7" s="17"/>
      <c r="K7" s="17"/>
      <c r="L7" s="17"/>
      <c r="M7" s="17"/>
      <c r="N7" s="17"/>
    </row>
    <row r="8" spans="1:20" x14ac:dyDescent="0.2">
      <c r="A8" s="17"/>
      <c r="B8" s="17"/>
      <c r="C8" s="17"/>
      <c r="D8" s="17"/>
      <c r="E8" s="17"/>
      <c r="F8" s="43" t="s">
        <v>53</v>
      </c>
      <c r="G8" s="43"/>
      <c r="H8" s="36">
        <f>SUM(N11:N1000000)</f>
        <v>0</v>
      </c>
      <c r="I8" s="17"/>
      <c r="J8" s="17"/>
      <c r="K8" s="17"/>
      <c r="L8" s="17"/>
      <c r="M8" s="17"/>
      <c r="N8" s="17"/>
    </row>
    <row r="9" spans="1:20" x14ac:dyDescent="0.2">
      <c r="A9" s="17"/>
      <c r="B9" s="17"/>
      <c r="C9" s="17"/>
      <c r="D9" s="17"/>
      <c r="E9" s="17"/>
      <c r="F9" s="44" t="s">
        <v>55</v>
      </c>
      <c r="G9" s="44"/>
      <c r="H9" s="36">
        <f>SUM(O11:O1000000)</f>
        <v>-186</v>
      </c>
      <c r="I9" s="17"/>
      <c r="J9" s="35"/>
      <c r="K9" s="17"/>
      <c r="L9" s="17"/>
      <c r="M9" s="17"/>
      <c r="N9" s="17"/>
    </row>
    <row r="10" spans="1:20" x14ac:dyDescent="0.2">
      <c r="A10" s="17"/>
      <c r="B10" s="17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</row>
    <row r="11" spans="1:20" s="18" customFormat="1" ht="36" x14ac:dyDescent="0.2">
      <c r="A11" s="15" t="s">
        <v>5</v>
      </c>
      <c r="B11" s="14" t="s">
        <v>7</v>
      </c>
      <c r="C11" s="1" t="s">
        <v>78</v>
      </c>
      <c r="D11" s="1" t="s">
        <v>82</v>
      </c>
      <c r="E11" s="1" t="s">
        <v>83</v>
      </c>
      <c r="F11" s="1" t="s">
        <v>73</v>
      </c>
      <c r="G11" s="1" t="s">
        <v>74</v>
      </c>
      <c r="H11" s="1" t="s">
        <v>85</v>
      </c>
      <c r="I11" s="1" t="s">
        <v>1043</v>
      </c>
      <c r="J11" s="1" t="s">
        <v>1054</v>
      </c>
      <c r="K11" s="1" t="s">
        <v>1045</v>
      </c>
      <c r="L11" s="1" t="s">
        <v>79</v>
      </c>
      <c r="M11" s="1" t="s">
        <v>75</v>
      </c>
      <c r="N11" s="1" t="s">
        <v>76</v>
      </c>
      <c r="O11" s="1" t="s">
        <v>77</v>
      </c>
      <c r="P11" s="1" t="s">
        <v>80</v>
      </c>
      <c r="Q11" s="1" t="s">
        <v>81</v>
      </c>
      <c r="R11" s="17"/>
      <c r="S11" s="17"/>
      <c r="T11" s="17"/>
    </row>
    <row r="12" spans="1:20" x14ac:dyDescent="0.2">
      <c r="A12" t="s">
        <v>575</v>
      </c>
      <c r="B12" t="s">
        <v>169</v>
      </c>
      <c r="C12" s="16">
        <v>1</v>
      </c>
      <c r="D12" s="16">
        <v>0</v>
      </c>
      <c r="E12" s="16">
        <v>0</v>
      </c>
      <c r="F12" s="7">
        <v>0</v>
      </c>
      <c r="G12" s="7">
        <v>0</v>
      </c>
      <c r="H12">
        <v>186</v>
      </c>
      <c r="I12" s="16">
        <v>0</v>
      </c>
      <c r="J12" s="16">
        <v>0</v>
      </c>
      <c r="K12" s="16">
        <v>0</v>
      </c>
      <c r="L12" s="7">
        <v>3200</v>
      </c>
      <c r="M12" s="7">
        <v>0</v>
      </c>
      <c r="N12" s="7">
        <v>0</v>
      </c>
      <c r="O12" s="7">
        <v>-186</v>
      </c>
      <c r="P12" s="3">
        <v>0</v>
      </c>
      <c r="Q12" s="3">
        <v>0</v>
      </c>
    </row>
    <row r="13" spans="1:20" x14ac:dyDescent="0.2">
      <c r="O13"/>
      <c r="P13"/>
      <c r="Q13"/>
    </row>
    <row r="14" spans="1:20" x14ac:dyDescent="0.2">
      <c r="O14"/>
      <c r="P14"/>
      <c r="Q14"/>
    </row>
    <row r="15" spans="1:20" x14ac:dyDescent="0.2">
      <c r="O15"/>
      <c r="P15"/>
      <c r="Q15"/>
    </row>
    <row r="16" spans="1:20" x14ac:dyDescent="0.2">
      <c r="O16"/>
      <c r="P16"/>
      <c r="Q16"/>
    </row>
    <row r="17" spans="15:17" x14ac:dyDescent="0.2">
      <c r="O17"/>
      <c r="P17"/>
      <c r="Q17"/>
    </row>
    <row r="18" spans="15:17" x14ac:dyDescent="0.2">
      <c r="O18"/>
      <c r="P18"/>
      <c r="Q18"/>
    </row>
    <row r="19" spans="15:17" x14ac:dyDescent="0.2">
      <c r="O19"/>
      <c r="P19"/>
      <c r="Q19"/>
    </row>
    <row r="20" spans="15:17" x14ac:dyDescent="0.2">
      <c r="O20"/>
      <c r="P20"/>
      <c r="Q20"/>
    </row>
    <row r="21" spans="15:17" x14ac:dyDescent="0.2">
      <c r="O21"/>
      <c r="P21"/>
      <c r="Q21"/>
    </row>
    <row r="22" spans="15:17" x14ac:dyDescent="0.2">
      <c r="O22"/>
      <c r="P22"/>
      <c r="Q22"/>
    </row>
    <row r="23" spans="15:17" x14ac:dyDescent="0.2">
      <c r="O23"/>
      <c r="P23"/>
      <c r="Q23"/>
    </row>
    <row r="24" spans="15:17" x14ac:dyDescent="0.2">
      <c r="O24"/>
      <c r="P24"/>
      <c r="Q24"/>
    </row>
    <row r="25" spans="15:17" x14ac:dyDescent="0.2">
      <c r="O25"/>
      <c r="P25"/>
      <c r="Q25"/>
    </row>
    <row r="26" spans="15:17" x14ac:dyDescent="0.2">
      <c r="O26"/>
      <c r="P26"/>
      <c r="Q26"/>
    </row>
    <row r="27" spans="15:17" x14ac:dyDescent="0.2">
      <c r="O27"/>
      <c r="P27"/>
      <c r="Q27"/>
    </row>
    <row r="28" spans="15:17" x14ac:dyDescent="0.2">
      <c r="O28"/>
      <c r="P28"/>
      <c r="Q28"/>
    </row>
    <row r="29" spans="15:17" x14ac:dyDescent="0.2">
      <c r="O29"/>
      <c r="P29"/>
      <c r="Q29"/>
    </row>
    <row r="30" spans="15:17" x14ac:dyDescent="0.2">
      <c r="O30"/>
      <c r="P30"/>
      <c r="Q30"/>
    </row>
    <row r="31" spans="15:17" x14ac:dyDescent="0.2">
      <c r="O31"/>
      <c r="P31"/>
      <c r="Q31"/>
    </row>
    <row r="32" spans="15:17" x14ac:dyDescent="0.2">
      <c r="O32"/>
      <c r="P32"/>
      <c r="Q32"/>
    </row>
    <row r="33" spans="15:17" x14ac:dyDescent="0.2">
      <c r="O33"/>
      <c r="P33"/>
      <c r="Q33"/>
    </row>
    <row r="34" spans="15:17" x14ac:dyDescent="0.2">
      <c r="O34"/>
      <c r="P34"/>
      <c r="Q34"/>
    </row>
    <row r="35" spans="15:17" x14ac:dyDescent="0.2">
      <c r="O35"/>
      <c r="P35"/>
      <c r="Q35"/>
    </row>
    <row r="36" spans="15:17" x14ac:dyDescent="0.2">
      <c r="O36"/>
      <c r="P36"/>
      <c r="Q36"/>
    </row>
    <row r="37" spans="15:17" x14ac:dyDescent="0.2">
      <c r="O37"/>
      <c r="P37"/>
      <c r="Q37"/>
    </row>
    <row r="38" spans="15:17" x14ac:dyDescent="0.2">
      <c r="O38"/>
      <c r="P38"/>
      <c r="Q38"/>
    </row>
    <row r="39" spans="15:17" x14ac:dyDescent="0.2">
      <c r="O39"/>
      <c r="P39"/>
      <c r="Q39"/>
    </row>
    <row r="40" spans="15:17" x14ac:dyDescent="0.2">
      <c r="O40"/>
      <c r="P40"/>
      <c r="Q40"/>
    </row>
    <row r="41" spans="15:17" x14ac:dyDescent="0.2">
      <c r="O41"/>
      <c r="P41"/>
      <c r="Q41"/>
    </row>
    <row r="42" spans="15:17" x14ac:dyDescent="0.2">
      <c r="O42"/>
      <c r="P42"/>
      <c r="Q42"/>
    </row>
    <row r="43" spans="15:17" x14ac:dyDescent="0.2">
      <c r="O43"/>
      <c r="P43"/>
      <c r="Q43"/>
    </row>
    <row r="44" spans="15:17" x14ac:dyDescent="0.2">
      <c r="O44"/>
      <c r="P44"/>
      <c r="Q44"/>
    </row>
    <row r="45" spans="15:17" x14ac:dyDescent="0.2">
      <c r="O45"/>
      <c r="P45"/>
      <c r="Q45"/>
    </row>
    <row r="46" spans="15:17" x14ac:dyDescent="0.2">
      <c r="O46"/>
      <c r="P46"/>
      <c r="Q46"/>
    </row>
    <row r="47" spans="15:17" x14ac:dyDescent="0.2">
      <c r="O47"/>
      <c r="P47"/>
      <c r="Q47"/>
    </row>
    <row r="48" spans="15:17" x14ac:dyDescent="0.2">
      <c r="O48"/>
      <c r="P48"/>
      <c r="Q48"/>
    </row>
    <row r="49" spans="15:17" x14ac:dyDescent="0.2">
      <c r="O49"/>
      <c r="P49"/>
      <c r="Q49"/>
    </row>
    <row r="50" spans="15:17" x14ac:dyDescent="0.2">
      <c r="O50"/>
      <c r="P50"/>
      <c r="Q50"/>
    </row>
    <row r="51" spans="15:17" x14ac:dyDescent="0.2">
      <c r="O51"/>
      <c r="P51"/>
      <c r="Q51"/>
    </row>
    <row r="52" spans="15:17" x14ac:dyDescent="0.2">
      <c r="O52"/>
      <c r="P52"/>
      <c r="Q52"/>
    </row>
    <row r="53" spans="15:17" x14ac:dyDescent="0.2">
      <c r="O53"/>
      <c r="P53"/>
      <c r="Q53"/>
    </row>
    <row r="54" spans="15:17" x14ac:dyDescent="0.2">
      <c r="O54"/>
      <c r="P54"/>
      <c r="Q54"/>
    </row>
    <row r="55" spans="15:17" x14ac:dyDescent="0.2">
      <c r="O55"/>
      <c r="P55"/>
      <c r="Q55"/>
    </row>
    <row r="56" spans="15:17" x14ac:dyDescent="0.2">
      <c r="O56"/>
      <c r="P56"/>
      <c r="Q56"/>
    </row>
    <row r="57" spans="15:17" x14ac:dyDescent="0.2">
      <c r="O57"/>
      <c r="P57"/>
      <c r="Q57"/>
    </row>
    <row r="58" spans="15:17" x14ac:dyDescent="0.2">
      <c r="O58"/>
      <c r="P58"/>
      <c r="Q58"/>
    </row>
    <row r="59" spans="15:17" x14ac:dyDescent="0.2">
      <c r="O59"/>
      <c r="P59"/>
      <c r="Q59"/>
    </row>
    <row r="60" spans="15:17" x14ac:dyDescent="0.2">
      <c r="O60"/>
      <c r="P60"/>
      <c r="Q60"/>
    </row>
    <row r="61" spans="15:17" x14ac:dyDescent="0.2">
      <c r="O61"/>
      <c r="P61"/>
      <c r="Q61"/>
    </row>
    <row r="62" spans="15:17" x14ac:dyDescent="0.2">
      <c r="O62"/>
      <c r="P62"/>
      <c r="Q62"/>
    </row>
    <row r="63" spans="15:17" x14ac:dyDescent="0.2">
      <c r="O63"/>
      <c r="P63"/>
      <c r="Q63"/>
    </row>
    <row r="64" spans="15:17" x14ac:dyDescent="0.2">
      <c r="O64"/>
      <c r="P64"/>
      <c r="Q64"/>
    </row>
    <row r="65" spans="12:17" x14ac:dyDescent="0.2">
      <c r="O65"/>
      <c r="P65"/>
      <c r="Q65"/>
    </row>
    <row r="66" spans="12:17" x14ac:dyDescent="0.2">
      <c r="O66"/>
      <c r="P66"/>
      <c r="Q66"/>
    </row>
    <row r="67" spans="12:17" x14ac:dyDescent="0.2">
      <c r="O67"/>
      <c r="P67"/>
      <c r="Q67"/>
    </row>
    <row r="68" spans="12:17" x14ac:dyDescent="0.2">
      <c r="O68"/>
      <c r="P68"/>
      <c r="Q68"/>
    </row>
    <row r="69" spans="12:17" x14ac:dyDescent="0.2">
      <c r="O69"/>
      <c r="P69"/>
      <c r="Q69"/>
    </row>
    <row r="70" spans="12:17" x14ac:dyDescent="0.2">
      <c r="O70"/>
      <c r="P70"/>
      <c r="Q70"/>
    </row>
    <row r="71" spans="12:17" x14ac:dyDescent="0.2">
      <c r="O71"/>
      <c r="P71"/>
      <c r="Q71"/>
    </row>
    <row r="72" spans="12:17" x14ac:dyDescent="0.2">
      <c r="O72"/>
      <c r="P72"/>
      <c r="Q72"/>
    </row>
    <row r="73" spans="12:17" x14ac:dyDescent="0.2">
      <c r="O73"/>
      <c r="P73"/>
      <c r="Q73"/>
    </row>
    <row r="77" spans="12:17" x14ac:dyDescent="0.2">
      <c r="L77" s="7"/>
    </row>
    <row r="86" ht="16" customHeight="1" x14ac:dyDescent="0.2"/>
    <row r="87" ht="16" customHeight="1" x14ac:dyDescent="0.2"/>
    <row r="88" ht="16" customHeight="1" x14ac:dyDescent="0.2"/>
    <row r="89" ht="16" customHeight="1" x14ac:dyDescent="0.2"/>
    <row r="90" ht="16" customHeight="1" x14ac:dyDescent="0.2"/>
    <row r="91" ht="16" customHeight="1" x14ac:dyDescent="0.2"/>
    <row r="128" spans="12:12" x14ac:dyDescent="0.2">
      <c r="L128" s="7">
        <f>SUM(L116:L120)</f>
        <v>0</v>
      </c>
    </row>
  </sheetData>
  <mergeCells count="9">
    <mergeCell ref="F8:G8"/>
    <mergeCell ref="F1:G1"/>
    <mergeCell ref="F9:G9"/>
    <mergeCell ref="F2:G2"/>
    <mergeCell ref="F3:G3"/>
    <mergeCell ref="F4:G4"/>
    <mergeCell ref="F5:G5"/>
    <mergeCell ref="F6:G6"/>
    <mergeCell ref="F7:G7"/>
  </mergeCells>
  <conditionalFormatting pivot="1" sqref="L12">
    <cfRule type="cellIs" dxfId="110" priority="6" operator="equal">
      <formula>0</formula>
    </cfRule>
  </conditionalFormatting>
  <conditionalFormatting pivot="1" sqref="O1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F1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P1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Q1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O12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{DD8FFE19-ACE0-A046-8A9D-34C99988F8F5}</x14:id>
        </ext>
      </extLst>
    </cfRule>
  </conditionalFormatting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_xludf.Restart">
                <anchor>
                  <from>
                    <xdr:col>9</xdr:col>
                    <xdr:colOff>50800</xdr:colOff>
                    <xdr:row>0</xdr:row>
                    <xdr:rowOff>50800</xdr:rowOff>
                  </from>
                  <to>
                    <xdr:col>11</xdr:col>
                    <xdr:colOff>101600</xdr:colOff>
                    <xdr:row>2</xdr:row>
                    <xdr:rowOff>63500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DD8FFE19-ACE0-A046-8A9D-34C99988F8F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O12</xm:sqref>
        </x14:conditionalFormatting>
      </x14:conditionalFormattings>
    </ex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3111111">
    <tabColor theme="2" tint="-0.749992370372631"/>
  </sheetPr>
  <dimension ref="A1:BE1"/>
  <sheetViews>
    <sheetView zoomScale="110" zoomScaleNormal="96" workbookViewId="0">
      <pane ySplit="1" topLeftCell="A2356" activePane="bottomLeft" state="frozenSplit"/>
      <selection pane="bottomLeft" activeCell="A2361" sqref="A2361"/>
    </sheetView>
  </sheetViews>
  <sheetFormatPr baseColWidth="10" defaultColWidth="8.83203125" defaultRowHeight="15" x14ac:dyDescent="0.2"/>
  <cols>
    <col min="1" max="2" width="25" customWidth="1"/>
    <col min="3" max="3" width="18" customWidth="1"/>
    <col min="4" max="4" width="19" customWidth="1"/>
    <col min="5" max="5" width="18" customWidth="1"/>
    <col min="6" max="6" width="23" customWidth="1"/>
    <col min="7" max="7" width="100" customWidth="1"/>
    <col min="8" max="8" width="14" customWidth="1"/>
    <col min="9" max="9" width="20" customWidth="1"/>
    <col min="10" max="10" width="17" customWidth="1"/>
    <col min="11" max="13" width="18" customWidth="1"/>
    <col min="14" max="14" width="16" customWidth="1"/>
    <col min="15" max="15" width="19" customWidth="1"/>
    <col min="16" max="16" width="23" customWidth="1"/>
    <col min="17" max="17" width="25" customWidth="1"/>
    <col min="18" max="18" width="20" customWidth="1"/>
    <col min="19" max="19" width="22" customWidth="1"/>
    <col min="20" max="20" width="25" customWidth="1"/>
    <col min="21" max="22" width="35" customWidth="1"/>
    <col min="23" max="23" width="21" customWidth="1"/>
    <col min="24" max="24" width="14" customWidth="1"/>
    <col min="25" max="25" width="18" customWidth="1"/>
    <col min="26" max="26" width="16" customWidth="1"/>
    <col min="27" max="28" width="33" customWidth="1"/>
    <col min="29" max="29" width="30" customWidth="1"/>
    <col min="30" max="30" width="27" customWidth="1"/>
    <col min="31" max="31" width="23" customWidth="1"/>
    <col min="32" max="32" width="27" customWidth="1"/>
    <col min="33" max="34" width="18" customWidth="1"/>
    <col min="35" max="35" width="24" customWidth="1"/>
    <col min="36" max="37" width="16" customWidth="1"/>
    <col min="38" max="38" width="24" customWidth="1"/>
    <col min="39" max="39" width="19" customWidth="1"/>
    <col min="40" max="40" width="30" customWidth="1"/>
    <col min="41" max="41" width="16" customWidth="1"/>
    <col min="42" max="42" width="30" customWidth="1"/>
    <col min="43" max="44" width="20" customWidth="1"/>
    <col min="45" max="45" width="19" customWidth="1"/>
    <col min="46" max="46" width="16" customWidth="1"/>
    <col min="47" max="47" width="20" customWidth="1"/>
    <col min="48" max="48" width="25" customWidth="1"/>
    <col min="49" max="50" width="15" customWidth="1"/>
    <col min="51" max="51" width="20" customWidth="1"/>
    <col min="52" max="52" width="32" customWidth="1"/>
    <col min="53" max="54" width="30" customWidth="1"/>
    <col min="55" max="55" width="60" customWidth="1"/>
    <col min="56" max="56" width="30" customWidth="1"/>
    <col min="57" max="57" width="35" customWidth="1"/>
    <col min="58" max="58" width="45" customWidth="1"/>
  </cols>
  <sheetData>
    <row r="1" spans="1:57" ht="30" customHeight="1" x14ac:dyDescent="0.2">
      <c r="A1" s="27"/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7"/>
      <c r="BC1" s="27"/>
      <c r="BD1" s="27"/>
      <c r="BE1" s="2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3211111">
    <tabColor theme="2" tint="-0.749992370372631"/>
  </sheetPr>
  <dimension ref="A1:AZ2"/>
  <sheetViews>
    <sheetView zoomScale="96" zoomScaleNormal="96" workbookViewId="0">
      <pane ySplit="1" topLeftCell="A2" activePane="bottomLeft" state="frozenSplit"/>
      <selection pane="bottomLeft" activeCell="AZ2" sqref="AZ2:AZ2894"/>
    </sheetView>
  </sheetViews>
  <sheetFormatPr baseColWidth="10" defaultColWidth="9.1640625" defaultRowHeight="15" x14ac:dyDescent="0.2"/>
  <cols>
    <col min="1" max="1" width="12.5" bestFit="1" customWidth="1"/>
    <col min="2" max="2" width="15.83203125" customWidth="1"/>
    <col min="3" max="3" width="22.1640625" customWidth="1"/>
    <col min="4" max="4" width="11.83203125" customWidth="1"/>
    <col min="5" max="5" width="12.33203125" customWidth="1"/>
    <col min="6" max="6" width="27.33203125" customWidth="1"/>
    <col min="7" max="7" width="34.6640625" customWidth="1"/>
    <col min="8" max="8" width="15.33203125" customWidth="1"/>
    <col min="9" max="9" width="14.1640625" customWidth="1"/>
    <col min="10" max="10" width="14.6640625" customWidth="1"/>
    <col min="11" max="11" width="22.6640625" customWidth="1"/>
    <col min="12" max="12" width="12.6640625" customWidth="1"/>
    <col min="13" max="13" width="12.1640625" customWidth="1"/>
    <col min="14" max="14" width="7.33203125" customWidth="1"/>
    <col min="15" max="15" width="15.83203125" customWidth="1"/>
    <col min="16" max="16" width="35.1640625" customWidth="1"/>
    <col min="17" max="17" width="38.83203125" customWidth="1"/>
    <col min="18" max="18" width="12.33203125" customWidth="1"/>
    <col min="19" max="19" width="30.1640625" customWidth="1"/>
    <col min="20" max="20" width="45.6640625" customWidth="1"/>
    <col min="21" max="21" width="36.83203125" customWidth="1"/>
    <col min="22" max="22" width="14.1640625" customWidth="1"/>
    <col min="23" max="23" width="31.1640625" customWidth="1"/>
    <col min="24" max="24" width="24.33203125" customWidth="1"/>
    <col min="25" max="25" width="62.33203125" customWidth="1"/>
    <col min="26" max="26" width="46.6640625" customWidth="1"/>
    <col min="27" max="27" width="36" customWidth="1"/>
    <col min="28" max="28" width="42.6640625" customWidth="1"/>
    <col min="29" max="29" width="35.1640625" customWidth="1"/>
    <col min="30" max="30" width="49.6640625" customWidth="1"/>
    <col min="31" max="32" width="20.33203125" customWidth="1"/>
    <col min="33" max="33" width="37.33203125" customWidth="1"/>
    <col min="34" max="34" width="8.6640625" customWidth="1"/>
    <col min="35" max="35" width="9.1640625" customWidth="1"/>
    <col min="36" max="36" width="30.83203125" customWidth="1"/>
    <col min="37" max="37" width="11" customWidth="1"/>
    <col min="38" max="38" width="31.83203125" customWidth="1"/>
    <col min="39" max="39" width="13.1640625" customWidth="1"/>
    <col min="40" max="40" width="29.83203125" customWidth="1"/>
    <col min="41" max="41" width="14.1640625" customWidth="1"/>
    <col min="42" max="42" width="27.6640625" customWidth="1"/>
    <col min="43" max="43" width="20.6640625" customWidth="1"/>
    <col min="44" max="44" width="9.33203125" customWidth="1"/>
    <col min="45" max="45" width="12.33203125" customWidth="1"/>
    <col min="46" max="46" width="21.33203125" customWidth="1"/>
    <col min="47" max="47" width="11" customWidth="1"/>
    <col min="48" max="48" width="12" customWidth="1"/>
    <col min="49" max="49" width="39.33203125" customWidth="1"/>
  </cols>
  <sheetData>
    <row r="1" spans="1:52" ht="32" x14ac:dyDescent="0.2">
      <c r="A1" s="21" t="s">
        <v>0</v>
      </c>
      <c r="B1" s="21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1" t="s">
        <v>6</v>
      </c>
      <c r="H1" s="21" t="s">
        <v>7</v>
      </c>
      <c r="I1" s="21" t="s">
        <v>8</v>
      </c>
      <c r="J1" s="21" t="s">
        <v>9</v>
      </c>
      <c r="K1" s="21" t="s">
        <v>10</v>
      </c>
      <c r="L1" s="21" t="s">
        <v>11</v>
      </c>
      <c r="M1" s="21" t="s">
        <v>12</v>
      </c>
      <c r="N1" s="21" t="s">
        <v>13</v>
      </c>
      <c r="O1" s="21" t="s">
        <v>14</v>
      </c>
      <c r="P1" s="21" t="s">
        <v>15</v>
      </c>
      <c r="Q1" s="21" t="s">
        <v>16</v>
      </c>
      <c r="R1" s="21" t="s">
        <v>17</v>
      </c>
      <c r="S1" s="21" t="s">
        <v>1001</v>
      </c>
      <c r="T1" s="21" t="s">
        <v>18</v>
      </c>
      <c r="U1" s="21" t="s">
        <v>1002</v>
      </c>
      <c r="V1" s="21" t="s">
        <v>19</v>
      </c>
      <c r="W1" s="21" t="s">
        <v>20</v>
      </c>
      <c r="X1" s="21" t="s">
        <v>21</v>
      </c>
      <c r="Y1" s="21" t="s">
        <v>22</v>
      </c>
      <c r="Z1" s="21" t="s">
        <v>23</v>
      </c>
      <c r="AA1" s="21" t="s">
        <v>1003</v>
      </c>
      <c r="AB1" s="21" t="s">
        <v>24</v>
      </c>
      <c r="AC1" s="21" t="s">
        <v>25</v>
      </c>
      <c r="AD1" s="21" t="s">
        <v>26</v>
      </c>
      <c r="AE1" s="21" t="s">
        <v>27</v>
      </c>
      <c r="AF1" s="21" t="s">
        <v>28</v>
      </c>
      <c r="AG1" s="21" t="s">
        <v>29</v>
      </c>
      <c r="AH1" s="21" t="s">
        <v>1004</v>
      </c>
      <c r="AI1" s="21" t="s">
        <v>30</v>
      </c>
      <c r="AJ1" s="21" t="s">
        <v>1005</v>
      </c>
      <c r="AK1" s="21" t="s">
        <v>31</v>
      </c>
      <c r="AL1" s="21" t="s">
        <v>1006</v>
      </c>
      <c r="AM1" s="21" t="s">
        <v>32</v>
      </c>
      <c r="AN1" s="21" t="s">
        <v>33</v>
      </c>
      <c r="AO1" s="21" t="s">
        <v>34</v>
      </c>
      <c r="AP1" s="21" t="s">
        <v>35</v>
      </c>
      <c r="AQ1" s="21" t="s">
        <v>36</v>
      </c>
      <c r="AR1" s="21" t="s">
        <v>37</v>
      </c>
      <c r="AS1" s="21" t="s">
        <v>38</v>
      </c>
      <c r="AT1" s="21" t="s">
        <v>39</v>
      </c>
      <c r="AU1" s="21" t="s">
        <v>40</v>
      </c>
      <c r="AV1" s="21" t="s">
        <v>41</v>
      </c>
      <c r="AW1" s="21" t="s">
        <v>42</v>
      </c>
      <c r="AX1" s="30" t="s">
        <v>1013</v>
      </c>
      <c r="AY1" s="30" t="s">
        <v>1014</v>
      </c>
      <c r="AZ1" s="31" t="s">
        <v>1015</v>
      </c>
    </row>
    <row r="2" spans="1:52" x14ac:dyDescent="0.2">
      <c r="A2" t="s">
        <v>1016</v>
      </c>
      <c r="B2">
        <v>0</v>
      </c>
      <c r="C2" t="s">
        <v>167</v>
      </c>
      <c r="D2">
        <v>138176807</v>
      </c>
      <c r="E2" t="s">
        <v>88</v>
      </c>
      <c r="F2" t="s">
        <v>575</v>
      </c>
      <c r="G2" t="s">
        <v>1000</v>
      </c>
      <c r="H2" t="s">
        <v>169</v>
      </c>
      <c r="I2" t="s">
        <v>581</v>
      </c>
      <c r="K2" t="s">
        <v>56</v>
      </c>
      <c r="L2" t="s">
        <v>1040</v>
      </c>
      <c r="M2" t="s">
        <v>1055</v>
      </c>
      <c r="N2">
        <v>0</v>
      </c>
      <c r="O2">
        <v>0</v>
      </c>
      <c r="P2">
        <v>0</v>
      </c>
      <c r="Q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1</v>
      </c>
      <c r="AF2">
        <v>0</v>
      </c>
      <c r="AG2">
        <v>186</v>
      </c>
      <c r="AH2">
        <v>0</v>
      </c>
      <c r="AI2">
        <v>0</v>
      </c>
      <c r="AJ2" t="s">
        <v>1012</v>
      </c>
      <c r="AK2" t="s">
        <v>1018</v>
      </c>
      <c r="AM2">
        <v>153808</v>
      </c>
      <c r="AQ2" t="s">
        <v>987</v>
      </c>
      <c r="AR2" t="s">
        <v>1009</v>
      </c>
      <c r="AU2">
        <v>11408244814</v>
      </c>
      <c r="AW2" t="s">
        <v>1056</v>
      </c>
      <c r="AX2">
        <v>0</v>
      </c>
      <c r="AY2">
        <v>0</v>
      </c>
      <c r="AZ2">
        <v>0</v>
      </c>
    </row>
  </sheetData>
  <autoFilter ref="A1:AZ1" xr:uid="{00000000-0009-0000-0000-000004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4111111"/>
  <dimension ref="A1:BP2"/>
  <sheetViews>
    <sheetView topLeftCell="AG1" zoomScale="85" zoomScaleNormal="85" workbookViewId="0">
      <pane ySplit="1" topLeftCell="A2" activePane="bottomLeft" state="frozen"/>
      <selection pane="bottomLeft" sqref="A1:AZ2"/>
    </sheetView>
  </sheetViews>
  <sheetFormatPr baseColWidth="10" defaultColWidth="9.1640625" defaultRowHeight="15" x14ac:dyDescent="0.2"/>
  <cols>
    <col min="1" max="1" width="5.5" style="5" bestFit="1" customWidth="1"/>
    <col min="2" max="10" width="7.83203125" style="5" customWidth="1"/>
    <col min="11" max="11" width="23.6640625" style="5" customWidth="1"/>
    <col min="12" max="24" width="7.83203125" style="5" customWidth="1"/>
    <col min="25" max="25" width="13.83203125" style="5" customWidth="1"/>
    <col min="26" max="26" width="11.1640625" style="5" customWidth="1"/>
    <col min="27" max="27" width="11.83203125" style="5" customWidth="1"/>
    <col min="28" max="28" width="14.6640625" style="5" customWidth="1"/>
    <col min="29" max="29" width="14" style="5" customWidth="1"/>
    <col min="30" max="30" width="13.5" style="5" customWidth="1"/>
    <col min="31" max="31" width="10" style="5" customWidth="1"/>
    <col min="32" max="32" width="9.6640625" style="5" customWidth="1"/>
    <col min="33" max="35" width="7.83203125" style="5" customWidth="1"/>
    <col min="36" max="36" width="10.83203125" style="5" customWidth="1"/>
    <col min="37" max="46" width="7.83203125" style="5" customWidth="1"/>
    <col min="47" max="47" width="12.83203125" style="5" customWidth="1"/>
    <col min="48" max="48" width="7.83203125" style="5" customWidth="1"/>
    <col min="49" max="49" width="2.83203125" style="5" customWidth="1"/>
    <col min="50" max="52" width="7.83203125" style="5" customWidth="1"/>
    <col min="53" max="65" width="7.83203125" style="6" customWidth="1"/>
    <col min="66" max="16384" width="9.1640625" style="5"/>
  </cols>
  <sheetData>
    <row r="1" spans="1:68" s="4" customFormat="1" ht="162" customHeight="1" x14ac:dyDescent="0.2">
      <c r="A1" s="21" t="s">
        <v>0</v>
      </c>
      <c r="B1" s="21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1" t="s">
        <v>6</v>
      </c>
      <c r="H1" s="21" t="s">
        <v>7</v>
      </c>
      <c r="I1" s="21" t="s">
        <v>8</v>
      </c>
      <c r="J1" s="21" t="s">
        <v>9</v>
      </c>
      <c r="K1" s="21" t="s">
        <v>10</v>
      </c>
      <c r="L1" s="21" t="s">
        <v>11</v>
      </c>
      <c r="M1" s="21" t="s">
        <v>12</v>
      </c>
      <c r="N1" s="21" t="s">
        <v>13</v>
      </c>
      <c r="O1" s="21" t="s">
        <v>14</v>
      </c>
      <c r="P1" s="21" t="s">
        <v>15</v>
      </c>
      <c r="Q1" s="21" t="s">
        <v>16</v>
      </c>
      <c r="R1" s="21" t="s">
        <v>17</v>
      </c>
      <c r="S1" s="21" t="s">
        <v>1001</v>
      </c>
      <c r="T1" s="21" t="s">
        <v>18</v>
      </c>
      <c r="U1" s="21" t="s">
        <v>1002</v>
      </c>
      <c r="V1" s="21" t="s">
        <v>19</v>
      </c>
      <c r="W1" s="21" t="s">
        <v>20</v>
      </c>
      <c r="X1" s="21" t="s">
        <v>21</v>
      </c>
      <c r="Y1" s="21" t="s">
        <v>22</v>
      </c>
      <c r="Z1" s="21" t="s">
        <v>23</v>
      </c>
      <c r="AA1" s="21" t="s">
        <v>1003</v>
      </c>
      <c r="AB1" s="21" t="s">
        <v>24</v>
      </c>
      <c r="AC1" s="21" t="s">
        <v>25</v>
      </c>
      <c r="AD1" s="21" t="s">
        <v>26</v>
      </c>
      <c r="AE1" s="21" t="s">
        <v>27</v>
      </c>
      <c r="AF1" s="21" t="s">
        <v>28</v>
      </c>
      <c r="AG1" s="21" t="s">
        <v>29</v>
      </c>
      <c r="AH1" s="21" t="s">
        <v>1004</v>
      </c>
      <c r="AI1" s="21" t="s">
        <v>30</v>
      </c>
      <c r="AJ1" s="21" t="s">
        <v>1005</v>
      </c>
      <c r="AK1" s="21" t="s">
        <v>31</v>
      </c>
      <c r="AL1" s="21" t="s">
        <v>1006</v>
      </c>
      <c r="AM1" s="21" t="s">
        <v>32</v>
      </c>
      <c r="AN1" s="21" t="s">
        <v>33</v>
      </c>
      <c r="AO1" s="21" t="s">
        <v>34</v>
      </c>
      <c r="AP1" s="21" t="s">
        <v>35</v>
      </c>
      <c r="AQ1" s="21" t="s">
        <v>36</v>
      </c>
      <c r="AR1" s="21" t="s">
        <v>37</v>
      </c>
      <c r="AS1" s="21" t="s">
        <v>38</v>
      </c>
      <c r="AT1" s="21" t="s">
        <v>39</v>
      </c>
      <c r="AU1" s="21" t="s">
        <v>40</v>
      </c>
      <c r="AV1" s="21" t="s">
        <v>41</v>
      </c>
      <c r="AW1" s="21" t="s">
        <v>42</v>
      </c>
      <c r="AX1" s="30" t="s">
        <v>1013</v>
      </c>
      <c r="AY1" s="30" t="s">
        <v>1014</v>
      </c>
      <c r="AZ1" s="31" t="s">
        <v>1015</v>
      </c>
      <c r="BA1" s="39" t="s">
        <v>46</v>
      </c>
      <c r="BB1" s="39" t="s">
        <v>47</v>
      </c>
      <c r="BC1" s="39" t="s">
        <v>48</v>
      </c>
      <c r="BD1" s="39" t="s">
        <v>49</v>
      </c>
      <c r="BE1" s="39" t="s">
        <v>50</v>
      </c>
      <c r="BF1" s="39" t="s">
        <v>51</v>
      </c>
      <c r="BG1" s="39" t="s">
        <v>56</v>
      </c>
      <c r="BH1" s="39" t="s">
        <v>52</v>
      </c>
      <c r="BI1" s="39" t="s">
        <v>1041</v>
      </c>
      <c r="BJ1" s="39" t="s">
        <v>53</v>
      </c>
      <c r="BK1" s="39" t="s">
        <v>45</v>
      </c>
      <c r="BL1" s="39" t="s">
        <v>54</v>
      </c>
      <c r="BM1" s="39" t="s">
        <v>55</v>
      </c>
      <c r="BN1" s="39" t="s">
        <v>1047</v>
      </c>
      <c r="BO1" s="39" t="s">
        <v>1053</v>
      </c>
      <c r="BP1" s="39" t="s">
        <v>1048</v>
      </c>
    </row>
    <row r="2" spans="1:68" x14ac:dyDescent="0.2">
      <c r="A2" t="s">
        <v>1016</v>
      </c>
      <c r="B2">
        <v>0</v>
      </c>
      <c r="C2" t="s">
        <v>167</v>
      </c>
      <c r="D2">
        <v>138176807</v>
      </c>
      <c r="E2" t="s">
        <v>88</v>
      </c>
      <c r="F2" t="s">
        <v>575</v>
      </c>
      <c r="G2" t="s">
        <v>1000</v>
      </c>
      <c r="H2" t="s">
        <v>169</v>
      </c>
      <c r="I2" t="s">
        <v>581</v>
      </c>
      <c r="J2"/>
      <c r="K2" t="s">
        <v>56</v>
      </c>
      <c r="L2" t="s">
        <v>1040</v>
      </c>
      <c r="M2" t="s">
        <v>1055</v>
      </c>
      <c r="N2">
        <v>0</v>
      </c>
      <c r="O2">
        <v>0</v>
      </c>
      <c r="P2">
        <v>0</v>
      </c>
      <c r="Q2">
        <v>0</v>
      </c>
      <c r="R2"/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1</v>
      </c>
      <c r="AF2">
        <v>0</v>
      </c>
      <c r="AG2">
        <v>186</v>
      </c>
      <c r="AH2">
        <v>0</v>
      </c>
      <c r="AI2">
        <v>0</v>
      </c>
      <c r="AJ2" t="s">
        <v>1012</v>
      </c>
      <c r="AK2" t="s">
        <v>1018</v>
      </c>
      <c r="AL2"/>
      <c r="AM2">
        <v>153808</v>
      </c>
      <c r="AN2"/>
      <c r="AO2"/>
      <c r="AP2"/>
      <c r="AQ2" t="s">
        <v>987</v>
      </c>
      <c r="AR2" t="s">
        <v>1009</v>
      </c>
      <c r="AS2"/>
      <c r="AT2"/>
      <c r="AU2">
        <v>11408244814</v>
      </c>
      <c r="AV2"/>
      <c r="AW2" t="s">
        <v>1056</v>
      </c>
      <c r="AX2">
        <v>0</v>
      </c>
      <c r="AY2">
        <v>0</v>
      </c>
      <c r="AZ2">
        <v>0</v>
      </c>
      <c r="BA2" s="6">
        <f ca="1">IF(OR(Details[[#This Row],[Обоснование для оплаты]]="Продажа",Details[[#This Row],[Обоснование для оплаты]]="Компенсация подмененного товара"),Details[[#This Row],[Кол-во]],0)+
IF(Details[[#This Row],[Обоснование для оплаты]]="Частичная компенсация брака",IF(COUNTIF(INDIRECT(ADDRESS(1,COLUMN(Details[[#This Row],[ШК]]),2) &amp;":"&amp; ADDRESS(ROW(Details[[#This Row],[ШК]]),COLUMN(Details[[#This Row],[ШК]]))),Details[[#This Row],[ШК]])&gt;1,0,1),0)</f>
        <v>0</v>
      </c>
      <c r="BB2" s="6">
        <f>IF(Details[[#This Row],[Обоснование для оплаты]]="Возврат",Details[[#This Row],[Кол-во]],0)</f>
        <v>0</v>
      </c>
      <c r="BC2" s="6">
        <f>IF(Details[[#This Row],[Тип документа]]="Продажа",Details[[#This Row],[Вайлдберриз реализовал Товар (Пр)]],0)</f>
        <v>0</v>
      </c>
      <c r="BD2" s="6">
        <f>IF(Details[[#This Row],[Тип документа]]="Возврат",Details[[#This Row],[Вайлдберриз реализовал Товар (Пр)]],0)</f>
        <v>0</v>
      </c>
      <c r="BE2" s="6">
        <f>Details[[#This Row],[Продажи, руб]]-Details[[#This Row],[Возвраты, руб]]</f>
        <v>0</v>
      </c>
      <c r="BF2" s="6">
        <f>Details[[#This Row],[Сумма реализации]]-Details[[#This Row],[К перечислению]]</f>
        <v>0</v>
      </c>
      <c r="BG2" s="6">
        <f>IF(Details[[#This Row],[Обоснование для оплаты]] = "Логистика", Details[[#This Row],[Услуги по доставке товара покупателю]], -Details[[#This Row],[Услуги по доставке товара покупателю]])</f>
        <v>186</v>
      </c>
      <c r="BH2" s="6">
        <f>IF(Details[[#This Row],[Тип документа]]="Продажа",Details[[#This Row],[К перечислению Продавцу за реализованный Товар]], - ABS(Details[[#This Row],[К перечислению Продавцу за реализованный Товар]]) )</f>
        <v>0</v>
      </c>
      <c r="BI2" s="6">
        <f>Details[[#This Row],[К перечислению]]-Details[[#This Row],[Логистика]]-ABS(Details[[#This Row],[Общая сумма штрафов]])-Details[[#This Row],[Хранение, руб.]]-Details[[#This Row],[Проч.удержания, руб.]]-Details[[#This Row],[Платная приемка, руб.]]+Details[[#This Row],[Доплаты]]</f>
        <v>-186</v>
      </c>
      <c r="BJ2" s="6">
        <f>Details[[#This Row],[Сумма реализации]] * Tax_Rate</f>
        <v>0</v>
      </c>
      <c r="BK2" s="6">
        <f>IFERROR(
    IFERROR(
        IFERROR(
            INDEX(Net_Cost[Себестоимость],MATCH(Details[[#This Row],[Баркод]],Net_Cost[Баркод],0)),
            INDEX(Net_Cost[Себестоимость],MATCH(Details[[#This Row],[Код номенклатуры]],Net_Cost[Артикул WB],0))),
            INDEX(Net_Cost[Себестоимость],MATCH(Details[[#This Row],[Артикул поставщика]],Net_Cost[Артикул поставщика],0))),
  "")</f>
        <v>3200</v>
      </c>
      <c r="BL2" s="6">
        <f ca="1">IFERROR(Details[[#This Row],[Себестоимость]] * Details[[#This Row],[Продажи, шт]] - Details[[#This Row],[Себестоимость]] * Details[[#This Row],[Возвраты, шт]],0)</f>
        <v>0</v>
      </c>
      <c r="BM2" s="6">
        <f ca="1">Details[[#This Row],[Итого к оплате]]-Details[[#This Row],[Налог]]-Details[[#This Row],[Себестоимость реализации]]</f>
        <v>-186</v>
      </c>
      <c r="BN2" s="38">
        <f>IF(Details[[#This Row],[Обоснование для оплаты]]="Продажа",(SUM(Details[Хранение])/(SUMIF(Details[Обоснование для оплаты],"Продажа",Details[Продажи, шт]))*Details[[#This Row],[Продажи, шт]]),0)</f>
        <v>0</v>
      </c>
      <c r="BO2" s="38">
        <f>IF(Details[[#This Row],[Обоснование для оплаты]]="Продажа",(SUM(Details[Удержания])/SUMIF(Details[Обоснование для оплаты],"Продажа",Details[Продажи, шт])*Details[[#This Row],[Продажи, шт]]),0)</f>
        <v>0</v>
      </c>
      <c r="BP2" s="38">
        <f>IF(Details[[#This Row],[Обоснование для оплаты]]="Продажа",(SUM(Details[Платная приемка])/SUMIF(Details[Обоснование для оплаты],"Продажа",Details[Продажи, шт])*Details[[#This Row],[Продажи, шт]]),0)</f>
        <v>0</v>
      </c>
    </row>
  </sheetData>
  <pageMargins left="0.7" right="0.7" top="0.75" bottom="0.75" header="0.3" footer="0.3"/>
  <pageSetup paperSize="9" orientation="portrait" horizontalDpi="90" verticalDpi="9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5111111">
    <tabColor theme="2" tint="-0.749992370372631"/>
  </sheetPr>
  <dimension ref="A1:J1987"/>
  <sheetViews>
    <sheetView zoomScale="125" workbookViewId="0">
      <pane ySplit="1" topLeftCell="A5" activePane="bottomLeft" state="frozen"/>
      <selection pane="bottomLeft" activeCell="H15" sqref="H15"/>
    </sheetView>
  </sheetViews>
  <sheetFormatPr baseColWidth="10" defaultColWidth="0" defaultRowHeight="15" x14ac:dyDescent="0.2"/>
  <cols>
    <col min="1" max="1" width="12.33203125" bestFit="1" customWidth="1"/>
    <col min="2" max="2" width="22.1640625" bestFit="1" customWidth="1"/>
    <col min="3" max="3" width="20.33203125" bestFit="1" customWidth="1"/>
    <col min="4" max="4" width="35.6640625" bestFit="1" customWidth="1"/>
    <col min="5" max="5" width="13.6640625" bestFit="1" customWidth="1"/>
    <col min="6" max="6" width="15.33203125" bestFit="1" customWidth="1"/>
    <col min="7" max="7" width="14.1640625" bestFit="1" customWidth="1"/>
    <col min="8" max="8" width="15.33203125" customWidth="1"/>
    <col min="9" max="16384" width="9.1640625" hidden="1"/>
  </cols>
  <sheetData>
    <row r="1" spans="1:10" s="1" customFormat="1" ht="12" x14ac:dyDescent="0.2">
      <c r="A1" s="1" t="s">
        <v>4</v>
      </c>
      <c r="B1" s="1" t="s">
        <v>2</v>
      </c>
      <c r="C1" s="1" t="s">
        <v>43</v>
      </c>
      <c r="D1" s="1" t="s">
        <v>5</v>
      </c>
      <c r="E1" s="1" t="s">
        <v>44</v>
      </c>
      <c r="F1" s="1" t="s">
        <v>7</v>
      </c>
      <c r="G1" s="1" t="s">
        <v>8</v>
      </c>
      <c r="H1" s="1" t="s">
        <v>45</v>
      </c>
      <c r="I1" s="1" t="s">
        <v>600</v>
      </c>
      <c r="J1" s="1" t="s">
        <v>601</v>
      </c>
    </row>
    <row r="2" spans="1:10" x14ac:dyDescent="0.2">
      <c r="A2" t="s">
        <v>88</v>
      </c>
      <c r="B2" t="s">
        <v>376</v>
      </c>
      <c r="C2">
        <v>115072998</v>
      </c>
      <c r="D2" t="s">
        <v>386</v>
      </c>
      <c r="E2">
        <v>66129625</v>
      </c>
      <c r="F2" t="s">
        <v>175</v>
      </c>
      <c r="G2" t="s">
        <v>387</v>
      </c>
      <c r="H2" s="19">
        <v>500</v>
      </c>
      <c r="I2">
        <v>1.2</v>
      </c>
      <c r="J2" t="s">
        <v>388</v>
      </c>
    </row>
    <row r="3" spans="1:10" x14ac:dyDescent="0.2">
      <c r="A3" t="s">
        <v>88</v>
      </c>
      <c r="B3" t="s">
        <v>376</v>
      </c>
      <c r="C3">
        <v>115072999</v>
      </c>
      <c r="D3" t="s">
        <v>389</v>
      </c>
      <c r="E3">
        <v>66129626</v>
      </c>
      <c r="F3" t="s">
        <v>175</v>
      </c>
      <c r="G3" t="s">
        <v>390</v>
      </c>
      <c r="H3" s="19">
        <v>500</v>
      </c>
      <c r="I3">
        <v>1.2</v>
      </c>
      <c r="J3" t="s">
        <v>388</v>
      </c>
    </row>
    <row r="4" spans="1:10" x14ac:dyDescent="0.2">
      <c r="A4" t="s">
        <v>88</v>
      </c>
      <c r="B4" t="s">
        <v>376</v>
      </c>
      <c r="C4">
        <v>115073000</v>
      </c>
      <c r="D4" t="s">
        <v>391</v>
      </c>
      <c r="E4">
        <v>66129627</v>
      </c>
      <c r="F4" t="s">
        <v>175</v>
      </c>
      <c r="G4" t="s">
        <v>392</v>
      </c>
      <c r="H4" s="19">
        <v>500</v>
      </c>
      <c r="I4">
        <v>1.2</v>
      </c>
      <c r="J4" t="s">
        <v>388</v>
      </c>
    </row>
    <row r="5" spans="1:10" x14ac:dyDescent="0.2">
      <c r="A5" t="s">
        <v>88</v>
      </c>
      <c r="B5" t="s">
        <v>376</v>
      </c>
      <c r="C5">
        <v>115073001</v>
      </c>
      <c r="D5" t="s">
        <v>393</v>
      </c>
      <c r="E5">
        <v>66129628</v>
      </c>
      <c r="F5" t="s">
        <v>175</v>
      </c>
      <c r="G5" t="s">
        <v>394</v>
      </c>
      <c r="H5" s="19">
        <v>500</v>
      </c>
      <c r="I5">
        <v>1.2</v>
      </c>
      <c r="J5" t="s">
        <v>388</v>
      </c>
    </row>
    <row r="6" spans="1:10" x14ac:dyDescent="0.2">
      <c r="A6" t="s">
        <v>88</v>
      </c>
      <c r="B6" t="s">
        <v>376</v>
      </c>
      <c r="C6">
        <v>115073002</v>
      </c>
      <c r="D6" t="s">
        <v>395</v>
      </c>
      <c r="E6">
        <v>66129629</v>
      </c>
      <c r="F6" t="s">
        <v>175</v>
      </c>
      <c r="G6" t="s">
        <v>396</v>
      </c>
      <c r="H6" s="19">
        <v>500</v>
      </c>
      <c r="I6">
        <v>1.2</v>
      </c>
      <c r="J6" t="s">
        <v>388</v>
      </c>
    </row>
    <row r="7" spans="1:10" x14ac:dyDescent="0.2">
      <c r="A7" t="s">
        <v>88</v>
      </c>
      <c r="B7" t="s">
        <v>376</v>
      </c>
      <c r="C7">
        <v>138654362</v>
      </c>
      <c r="D7" t="s">
        <v>397</v>
      </c>
      <c r="E7">
        <v>84884722</v>
      </c>
      <c r="F7" t="s">
        <v>175</v>
      </c>
      <c r="G7" t="s">
        <v>398</v>
      </c>
      <c r="H7" s="19">
        <v>500</v>
      </c>
      <c r="I7">
        <v>1.2</v>
      </c>
      <c r="J7" t="s">
        <v>388</v>
      </c>
    </row>
    <row r="8" spans="1:10" x14ac:dyDescent="0.2">
      <c r="A8" t="s">
        <v>88</v>
      </c>
      <c r="B8" t="s">
        <v>376</v>
      </c>
      <c r="C8">
        <v>113123759</v>
      </c>
      <c r="D8" t="s">
        <v>377</v>
      </c>
      <c r="E8">
        <v>64587550</v>
      </c>
      <c r="F8" t="s">
        <v>175</v>
      </c>
      <c r="G8" t="s">
        <v>378</v>
      </c>
      <c r="H8" s="19">
        <v>500</v>
      </c>
      <c r="I8">
        <v>0</v>
      </c>
      <c r="J8" t="s">
        <v>379</v>
      </c>
    </row>
    <row r="9" spans="1:10" x14ac:dyDescent="0.2">
      <c r="A9" t="s">
        <v>88</v>
      </c>
      <c r="B9" t="s">
        <v>376</v>
      </c>
      <c r="C9">
        <v>113123760</v>
      </c>
      <c r="D9" t="s">
        <v>380</v>
      </c>
      <c r="E9">
        <v>64587551</v>
      </c>
      <c r="F9" t="s">
        <v>175</v>
      </c>
      <c r="G9" t="s">
        <v>381</v>
      </c>
      <c r="H9" s="19">
        <v>500</v>
      </c>
      <c r="I9">
        <v>0</v>
      </c>
      <c r="J9" t="s">
        <v>379</v>
      </c>
    </row>
    <row r="10" spans="1:10" x14ac:dyDescent="0.2">
      <c r="A10" t="s">
        <v>88</v>
      </c>
      <c r="B10" t="s">
        <v>376</v>
      </c>
      <c r="C10">
        <v>113123761</v>
      </c>
      <c r="D10" t="s">
        <v>382</v>
      </c>
      <c r="E10">
        <v>64587552</v>
      </c>
      <c r="F10" t="s">
        <v>175</v>
      </c>
      <c r="G10" t="s">
        <v>383</v>
      </c>
      <c r="H10" s="19">
        <v>500</v>
      </c>
      <c r="I10">
        <v>0</v>
      </c>
      <c r="J10" t="s">
        <v>379</v>
      </c>
    </row>
    <row r="11" spans="1:10" x14ac:dyDescent="0.2">
      <c r="A11" t="s">
        <v>88</v>
      </c>
      <c r="B11" t="s">
        <v>376</v>
      </c>
      <c r="C11">
        <v>113123762</v>
      </c>
      <c r="D11" t="s">
        <v>384</v>
      </c>
      <c r="E11">
        <v>64587553</v>
      </c>
      <c r="F11" t="s">
        <v>175</v>
      </c>
      <c r="G11" t="s">
        <v>385</v>
      </c>
      <c r="H11" s="19">
        <v>500</v>
      </c>
      <c r="I11">
        <v>0</v>
      </c>
      <c r="J11" t="s">
        <v>379</v>
      </c>
    </row>
    <row r="12" spans="1:10" x14ac:dyDescent="0.2">
      <c r="A12" t="s">
        <v>88</v>
      </c>
      <c r="B12" t="s">
        <v>197</v>
      </c>
      <c r="C12">
        <v>115153445</v>
      </c>
      <c r="D12" t="s">
        <v>198</v>
      </c>
      <c r="E12">
        <v>66199860</v>
      </c>
      <c r="F12" t="s">
        <v>175</v>
      </c>
      <c r="G12" t="s">
        <v>199</v>
      </c>
      <c r="H12" s="19">
        <v>500</v>
      </c>
      <c r="I12">
        <v>0</v>
      </c>
      <c r="J12" t="s">
        <v>200</v>
      </c>
    </row>
    <row r="13" spans="1:10" x14ac:dyDescent="0.2">
      <c r="A13" t="s">
        <v>88</v>
      </c>
      <c r="B13" t="s">
        <v>197</v>
      </c>
      <c r="C13">
        <v>115153446</v>
      </c>
      <c r="D13" t="s">
        <v>201</v>
      </c>
      <c r="E13">
        <v>66199861</v>
      </c>
      <c r="F13" t="s">
        <v>175</v>
      </c>
      <c r="G13" t="s">
        <v>202</v>
      </c>
      <c r="H13" s="19">
        <v>500</v>
      </c>
      <c r="I13">
        <v>0</v>
      </c>
      <c r="J13" t="s">
        <v>200</v>
      </c>
    </row>
    <row r="14" spans="1:10" x14ac:dyDescent="0.2">
      <c r="A14" t="s">
        <v>88</v>
      </c>
      <c r="B14" t="s">
        <v>197</v>
      </c>
      <c r="C14">
        <v>115153447</v>
      </c>
      <c r="D14" t="s">
        <v>203</v>
      </c>
      <c r="E14">
        <v>66199862</v>
      </c>
      <c r="F14" t="s">
        <v>175</v>
      </c>
      <c r="G14" t="s">
        <v>204</v>
      </c>
      <c r="H14" s="19">
        <v>500</v>
      </c>
      <c r="I14">
        <v>0</v>
      </c>
      <c r="J14" t="s">
        <v>200</v>
      </c>
    </row>
    <row r="15" spans="1:10" x14ac:dyDescent="0.2">
      <c r="A15" t="s">
        <v>88</v>
      </c>
      <c r="B15" t="s">
        <v>193</v>
      </c>
      <c r="C15">
        <v>134741846</v>
      </c>
      <c r="D15" t="s">
        <v>194</v>
      </c>
      <c r="E15">
        <v>81587097</v>
      </c>
      <c r="F15" t="s">
        <v>111</v>
      </c>
      <c r="G15" t="s">
        <v>195</v>
      </c>
      <c r="H15" s="19">
        <v>500</v>
      </c>
      <c r="I15">
        <v>0</v>
      </c>
      <c r="J15" t="s">
        <v>196</v>
      </c>
    </row>
    <row r="16" spans="1:10" x14ac:dyDescent="0.2">
      <c r="A16" t="s">
        <v>88</v>
      </c>
      <c r="B16" t="s">
        <v>197</v>
      </c>
      <c r="C16">
        <v>148192378</v>
      </c>
      <c r="D16" t="s">
        <v>210</v>
      </c>
      <c r="E16">
        <v>92286119</v>
      </c>
      <c r="F16" t="s">
        <v>94</v>
      </c>
      <c r="G16" t="s">
        <v>211</v>
      </c>
      <c r="H16" s="19">
        <v>500</v>
      </c>
      <c r="I16">
        <v>2.25</v>
      </c>
      <c r="J16" t="s">
        <v>212</v>
      </c>
    </row>
    <row r="17" spans="1:10" x14ac:dyDescent="0.2">
      <c r="A17" t="s">
        <v>88</v>
      </c>
      <c r="B17" t="s">
        <v>197</v>
      </c>
      <c r="C17">
        <v>148192722</v>
      </c>
      <c r="D17" t="s">
        <v>221</v>
      </c>
      <c r="E17">
        <v>92286396</v>
      </c>
      <c r="F17" t="s">
        <v>94</v>
      </c>
      <c r="G17" t="s">
        <v>222</v>
      </c>
      <c r="H17" s="19">
        <v>500</v>
      </c>
      <c r="I17">
        <v>2.25</v>
      </c>
      <c r="J17" t="s">
        <v>212</v>
      </c>
    </row>
    <row r="18" spans="1:10" x14ac:dyDescent="0.2">
      <c r="A18" t="s">
        <v>88</v>
      </c>
      <c r="B18" t="s">
        <v>197</v>
      </c>
      <c r="C18">
        <v>148192720</v>
      </c>
      <c r="D18" t="s">
        <v>217</v>
      </c>
      <c r="E18">
        <v>92286394</v>
      </c>
      <c r="F18" t="s">
        <v>94</v>
      </c>
      <c r="G18" t="s">
        <v>218</v>
      </c>
      <c r="H18" s="19">
        <v>500</v>
      </c>
      <c r="I18">
        <v>2.25</v>
      </c>
      <c r="J18" t="s">
        <v>212</v>
      </c>
    </row>
    <row r="19" spans="1:10" x14ac:dyDescent="0.2">
      <c r="A19" t="s">
        <v>88</v>
      </c>
      <c r="B19" t="s">
        <v>197</v>
      </c>
      <c r="C19">
        <v>148192719</v>
      </c>
      <c r="D19" t="s">
        <v>215</v>
      </c>
      <c r="E19">
        <v>92286393</v>
      </c>
      <c r="F19" t="s">
        <v>94</v>
      </c>
      <c r="G19" t="s">
        <v>216</v>
      </c>
      <c r="H19" s="19">
        <v>500</v>
      </c>
      <c r="I19">
        <v>2.25</v>
      </c>
      <c r="J19" t="s">
        <v>212</v>
      </c>
    </row>
    <row r="20" spans="1:10" x14ac:dyDescent="0.2">
      <c r="A20" t="s">
        <v>88</v>
      </c>
      <c r="B20" t="s">
        <v>197</v>
      </c>
      <c r="C20">
        <v>148192526</v>
      </c>
      <c r="D20" t="s">
        <v>213</v>
      </c>
      <c r="E20">
        <v>92286246</v>
      </c>
      <c r="F20" t="s">
        <v>94</v>
      </c>
      <c r="G20" t="s">
        <v>214</v>
      </c>
      <c r="H20" s="19">
        <v>500</v>
      </c>
      <c r="I20">
        <v>2.25</v>
      </c>
      <c r="J20" t="s">
        <v>212</v>
      </c>
    </row>
    <row r="21" spans="1:10" x14ac:dyDescent="0.2">
      <c r="A21" t="s">
        <v>88</v>
      </c>
      <c r="B21" t="s">
        <v>197</v>
      </c>
      <c r="C21">
        <v>148192721</v>
      </c>
      <c r="D21" t="s">
        <v>219</v>
      </c>
      <c r="E21">
        <v>92286395</v>
      </c>
      <c r="F21" t="s">
        <v>94</v>
      </c>
      <c r="G21" t="s">
        <v>220</v>
      </c>
      <c r="H21" s="19">
        <v>500</v>
      </c>
      <c r="I21">
        <v>2.25</v>
      </c>
      <c r="J21" t="s">
        <v>212</v>
      </c>
    </row>
    <row r="22" spans="1:10" x14ac:dyDescent="0.2">
      <c r="A22" t="s">
        <v>88</v>
      </c>
      <c r="B22" t="s">
        <v>354</v>
      </c>
      <c r="C22">
        <v>148193047</v>
      </c>
      <c r="D22" t="s">
        <v>355</v>
      </c>
      <c r="E22">
        <v>92286602</v>
      </c>
      <c r="F22" t="s">
        <v>94</v>
      </c>
      <c r="G22" t="s">
        <v>356</v>
      </c>
      <c r="H22" s="19">
        <v>500</v>
      </c>
      <c r="I22">
        <v>0</v>
      </c>
      <c r="J22" t="s">
        <v>357</v>
      </c>
    </row>
    <row r="23" spans="1:10" x14ac:dyDescent="0.2">
      <c r="A23" t="s">
        <v>88</v>
      </c>
      <c r="B23" t="s">
        <v>354</v>
      </c>
      <c r="C23">
        <v>148193050</v>
      </c>
      <c r="D23" t="s">
        <v>362</v>
      </c>
      <c r="E23">
        <v>92286605</v>
      </c>
      <c r="F23" t="s">
        <v>94</v>
      </c>
      <c r="G23" t="s">
        <v>363</v>
      </c>
      <c r="H23" s="19">
        <v>500</v>
      </c>
      <c r="I23">
        <v>0</v>
      </c>
      <c r="J23" t="s">
        <v>357</v>
      </c>
    </row>
    <row r="24" spans="1:10" x14ac:dyDescent="0.2">
      <c r="A24" t="s">
        <v>88</v>
      </c>
      <c r="B24" t="s">
        <v>354</v>
      </c>
      <c r="C24">
        <v>148193048</v>
      </c>
      <c r="D24" t="s">
        <v>358</v>
      </c>
      <c r="E24">
        <v>92286603</v>
      </c>
      <c r="F24" t="s">
        <v>94</v>
      </c>
      <c r="G24" t="s">
        <v>359</v>
      </c>
      <c r="H24" s="19">
        <v>500</v>
      </c>
      <c r="I24">
        <v>0</v>
      </c>
      <c r="J24" t="s">
        <v>357</v>
      </c>
    </row>
    <row r="25" spans="1:10" x14ac:dyDescent="0.2">
      <c r="A25" t="s">
        <v>88</v>
      </c>
      <c r="B25" t="s">
        <v>354</v>
      </c>
      <c r="C25">
        <v>148193051</v>
      </c>
      <c r="D25" t="s">
        <v>364</v>
      </c>
      <c r="E25">
        <v>92286606</v>
      </c>
      <c r="F25" t="s">
        <v>94</v>
      </c>
      <c r="G25" t="s">
        <v>365</v>
      </c>
      <c r="H25" s="19">
        <v>500</v>
      </c>
      <c r="I25">
        <v>0</v>
      </c>
      <c r="J25" t="s">
        <v>357</v>
      </c>
    </row>
    <row r="26" spans="1:10" x14ac:dyDescent="0.2">
      <c r="A26" t="s">
        <v>88</v>
      </c>
      <c r="B26" t="s">
        <v>354</v>
      </c>
      <c r="C26">
        <v>148193049</v>
      </c>
      <c r="D26" t="s">
        <v>360</v>
      </c>
      <c r="E26">
        <v>92286604</v>
      </c>
      <c r="F26" t="s">
        <v>94</v>
      </c>
      <c r="G26" t="s">
        <v>361</v>
      </c>
      <c r="H26" s="19">
        <v>500</v>
      </c>
      <c r="I26">
        <v>0</v>
      </c>
      <c r="J26" t="s">
        <v>357</v>
      </c>
    </row>
    <row r="27" spans="1:10" x14ac:dyDescent="0.2">
      <c r="A27" t="s">
        <v>88</v>
      </c>
      <c r="B27" t="s">
        <v>197</v>
      </c>
      <c r="C27">
        <v>128148495</v>
      </c>
      <c r="D27" t="s">
        <v>205</v>
      </c>
      <c r="E27">
        <v>76304079</v>
      </c>
      <c r="F27" t="s">
        <v>175</v>
      </c>
      <c r="G27" t="s">
        <v>206</v>
      </c>
      <c r="H27" s="19">
        <v>500</v>
      </c>
      <c r="I27">
        <v>0</v>
      </c>
      <c r="J27" t="s">
        <v>207</v>
      </c>
    </row>
    <row r="28" spans="1:10" x14ac:dyDescent="0.2">
      <c r="A28" t="s">
        <v>88</v>
      </c>
      <c r="B28" t="s">
        <v>197</v>
      </c>
      <c r="C28">
        <v>128522661</v>
      </c>
      <c r="D28" t="s">
        <v>208</v>
      </c>
      <c r="E28">
        <v>76583902</v>
      </c>
      <c r="F28" t="s">
        <v>175</v>
      </c>
      <c r="G28" t="s">
        <v>209</v>
      </c>
      <c r="H28" s="19">
        <v>500</v>
      </c>
      <c r="I28">
        <v>0</v>
      </c>
      <c r="J28" t="s">
        <v>207</v>
      </c>
    </row>
    <row r="29" spans="1:10" x14ac:dyDescent="0.2">
      <c r="A29" t="s">
        <v>88</v>
      </c>
      <c r="B29" t="s">
        <v>101</v>
      </c>
      <c r="C29">
        <v>216927406</v>
      </c>
      <c r="D29" t="s">
        <v>271</v>
      </c>
      <c r="E29">
        <v>123418395</v>
      </c>
      <c r="F29" t="s">
        <v>165</v>
      </c>
      <c r="G29" t="s">
        <v>272</v>
      </c>
      <c r="H29" s="19">
        <v>1300</v>
      </c>
      <c r="I29">
        <v>7.2</v>
      </c>
      <c r="J29" t="s">
        <v>270</v>
      </c>
    </row>
    <row r="30" spans="1:10" x14ac:dyDescent="0.2">
      <c r="A30" t="s">
        <v>88</v>
      </c>
      <c r="B30" t="s">
        <v>101</v>
      </c>
      <c r="C30">
        <v>216927405</v>
      </c>
      <c r="D30" t="s">
        <v>271</v>
      </c>
      <c r="E30">
        <v>123418395</v>
      </c>
      <c r="F30" t="s">
        <v>103</v>
      </c>
      <c r="G30" t="s">
        <v>290</v>
      </c>
      <c r="H30" s="19">
        <v>1300</v>
      </c>
      <c r="I30">
        <v>7.2</v>
      </c>
      <c r="J30" t="s">
        <v>270</v>
      </c>
    </row>
    <row r="31" spans="1:10" x14ac:dyDescent="0.2">
      <c r="A31" t="s">
        <v>88</v>
      </c>
      <c r="B31" t="s">
        <v>101</v>
      </c>
      <c r="C31">
        <v>216927403</v>
      </c>
      <c r="D31" t="s">
        <v>271</v>
      </c>
      <c r="E31">
        <v>123418395</v>
      </c>
      <c r="F31" t="s">
        <v>106</v>
      </c>
      <c r="G31" t="s">
        <v>316</v>
      </c>
      <c r="H31" s="19">
        <v>1300</v>
      </c>
      <c r="I31">
        <v>7.2</v>
      </c>
      <c r="J31" t="s">
        <v>270</v>
      </c>
    </row>
    <row r="32" spans="1:10" x14ac:dyDescent="0.2">
      <c r="A32" t="s">
        <v>88</v>
      </c>
      <c r="B32" t="s">
        <v>101</v>
      </c>
      <c r="C32">
        <v>216927419</v>
      </c>
      <c r="D32" t="s">
        <v>273</v>
      </c>
      <c r="E32">
        <v>123418398</v>
      </c>
      <c r="F32" t="s">
        <v>165</v>
      </c>
      <c r="G32" t="s">
        <v>274</v>
      </c>
      <c r="H32" s="19">
        <v>1300</v>
      </c>
      <c r="I32">
        <v>7.2</v>
      </c>
      <c r="J32" t="s">
        <v>270</v>
      </c>
    </row>
    <row r="33" spans="1:10" x14ac:dyDescent="0.2">
      <c r="A33" t="s">
        <v>88</v>
      </c>
      <c r="B33" t="s">
        <v>101</v>
      </c>
      <c r="C33">
        <v>216927418</v>
      </c>
      <c r="D33" t="s">
        <v>273</v>
      </c>
      <c r="E33">
        <v>123418398</v>
      </c>
      <c r="F33" t="s">
        <v>103</v>
      </c>
      <c r="G33" t="s">
        <v>291</v>
      </c>
      <c r="H33" s="19">
        <v>1300</v>
      </c>
      <c r="I33">
        <v>7.2</v>
      </c>
      <c r="J33" t="s">
        <v>270</v>
      </c>
    </row>
    <row r="34" spans="1:10" x14ac:dyDescent="0.2">
      <c r="A34" t="s">
        <v>88</v>
      </c>
      <c r="B34" t="s">
        <v>101</v>
      </c>
      <c r="C34">
        <v>216927417</v>
      </c>
      <c r="D34" t="s">
        <v>273</v>
      </c>
      <c r="E34">
        <v>123418398</v>
      </c>
      <c r="F34" t="s">
        <v>106</v>
      </c>
      <c r="G34" t="s">
        <v>317</v>
      </c>
      <c r="H34" s="19">
        <v>1300</v>
      </c>
      <c r="I34">
        <v>7.2</v>
      </c>
      <c r="J34" t="s">
        <v>270</v>
      </c>
    </row>
    <row r="35" spans="1:10" x14ac:dyDescent="0.2">
      <c r="A35" t="s">
        <v>88</v>
      </c>
      <c r="B35" t="s">
        <v>101</v>
      </c>
      <c r="C35">
        <v>216927404</v>
      </c>
      <c r="D35" t="s">
        <v>268</v>
      </c>
      <c r="E35">
        <v>123418394</v>
      </c>
      <c r="F35" t="s">
        <v>165</v>
      </c>
      <c r="G35" t="s">
        <v>269</v>
      </c>
      <c r="H35" s="19">
        <v>1300</v>
      </c>
      <c r="I35">
        <v>7.2</v>
      </c>
      <c r="J35" t="s">
        <v>270</v>
      </c>
    </row>
    <row r="36" spans="1:10" x14ac:dyDescent="0.2">
      <c r="A36" t="s">
        <v>88</v>
      </c>
      <c r="B36" t="s">
        <v>101</v>
      </c>
      <c r="C36">
        <v>216927402</v>
      </c>
      <c r="D36" t="s">
        <v>268</v>
      </c>
      <c r="E36">
        <v>123418394</v>
      </c>
      <c r="F36" t="s">
        <v>103</v>
      </c>
      <c r="G36" t="s">
        <v>289</v>
      </c>
      <c r="H36" s="19">
        <v>1300</v>
      </c>
      <c r="I36">
        <v>7.2</v>
      </c>
      <c r="J36" t="s">
        <v>270</v>
      </c>
    </row>
    <row r="37" spans="1:10" x14ac:dyDescent="0.2">
      <c r="A37" t="s">
        <v>88</v>
      </c>
      <c r="B37" t="s">
        <v>101</v>
      </c>
      <c r="C37">
        <v>216927401</v>
      </c>
      <c r="D37" t="s">
        <v>268</v>
      </c>
      <c r="E37">
        <v>123418394</v>
      </c>
      <c r="F37" t="s">
        <v>106</v>
      </c>
      <c r="G37" t="s">
        <v>315</v>
      </c>
      <c r="H37" s="19">
        <v>1300</v>
      </c>
      <c r="I37">
        <v>7.2</v>
      </c>
      <c r="J37" t="s">
        <v>270</v>
      </c>
    </row>
    <row r="38" spans="1:10" x14ac:dyDescent="0.2">
      <c r="A38" t="s">
        <v>88</v>
      </c>
      <c r="B38" t="s">
        <v>87</v>
      </c>
      <c r="C38">
        <v>153091958</v>
      </c>
      <c r="D38" t="s">
        <v>228</v>
      </c>
      <c r="E38">
        <v>96342204</v>
      </c>
      <c r="F38" t="s">
        <v>90</v>
      </c>
      <c r="G38" t="s">
        <v>229</v>
      </c>
      <c r="H38" s="19">
        <v>250</v>
      </c>
      <c r="I38">
        <v>1.5</v>
      </c>
      <c r="J38" t="s">
        <v>223</v>
      </c>
    </row>
    <row r="39" spans="1:10" x14ac:dyDescent="0.2">
      <c r="A39" t="s">
        <v>88</v>
      </c>
      <c r="B39" t="s">
        <v>87</v>
      </c>
      <c r="C39">
        <v>153091956</v>
      </c>
      <c r="D39" t="s">
        <v>224</v>
      </c>
      <c r="E39">
        <v>96342202</v>
      </c>
      <c r="F39" t="s">
        <v>90</v>
      </c>
      <c r="G39" t="s">
        <v>225</v>
      </c>
      <c r="H39" s="19">
        <v>250</v>
      </c>
      <c r="I39">
        <v>1.5</v>
      </c>
      <c r="J39" t="s">
        <v>223</v>
      </c>
    </row>
    <row r="40" spans="1:10" x14ac:dyDescent="0.2">
      <c r="A40" t="s">
        <v>88</v>
      </c>
      <c r="B40" t="s">
        <v>87</v>
      </c>
      <c r="C40">
        <v>153091957</v>
      </c>
      <c r="D40" t="s">
        <v>226</v>
      </c>
      <c r="E40">
        <v>96342203</v>
      </c>
      <c r="F40" t="s">
        <v>90</v>
      </c>
      <c r="G40" t="s">
        <v>227</v>
      </c>
      <c r="H40" s="19">
        <v>250</v>
      </c>
      <c r="I40">
        <v>1.5</v>
      </c>
      <c r="J40" t="s">
        <v>223</v>
      </c>
    </row>
    <row r="41" spans="1:10" x14ac:dyDescent="0.2">
      <c r="A41" t="s">
        <v>88</v>
      </c>
      <c r="B41" t="s">
        <v>87</v>
      </c>
      <c r="C41">
        <v>153091955</v>
      </c>
      <c r="D41" t="s">
        <v>89</v>
      </c>
      <c r="E41">
        <v>96342201</v>
      </c>
      <c r="F41" t="s">
        <v>90</v>
      </c>
      <c r="G41" t="s">
        <v>91</v>
      </c>
      <c r="H41" s="19">
        <v>250</v>
      </c>
      <c r="I41">
        <v>1.5</v>
      </c>
      <c r="J41" t="s">
        <v>223</v>
      </c>
    </row>
    <row r="42" spans="1:10" x14ac:dyDescent="0.2">
      <c r="A42" t="s">
        <v>88</v>
      </c>
      <c r="B42" t="s">
        <v>87</v>
      </c>
      <c r="C42">
        <v>147614570</v>
      </c>
      <c r="D42" t="s">
        <v>230</v>
      </c>
      <c r="E42">
        <v>91875835</v>
      </c>
      <c r="F42" t="s">
        <v>94</v>
      </c>
      <c r="G42" t="s">
        <v>231</v>
      </c>
      <c r="H42" s="19">
        <v>250</v>
      </c>
      <c r="I42">
        <v>0</v>
      </c>
      <c r="J42" t="s">
        <v>232</v>
      </c>
    </row>
    <row r="43" spans="1:10" x14ac:dyDescent="0.2">
      <c r="A43" t="s">
        <v>88</v>
      </c>
      <c r="B43" t="s">
        <v>87</v>
      </c>
      <c r="C43">
        <v>147615565</v>
      </c>
      <c r="D43" t="s">
        <v>235</v>
      </c>
      <c r="E43">
        <v>91876622</v>
      </c>
      <c r="F43" t="s">
        <v>94</v>
      </c>
      <c r="G43" t="s">
        <v>236</v>
      </c>
      <c r="H43" s="19">
        <v>250</v>
      </c>
      <c r="I43">
        <v>0</v>
      </c>
      <c r="J43" t="s">
        <v>232</v>
      </c>
    </row>
    <row r="44" spans="1:10" x14ac:dyDescent="0.2">
      <c r="A44" t="s">
        <v>88</v>
      </c>
      <c r="B44" t="s">
        <v>87</v>
      </c>
      <c r="C44">
        <v>147615566</v>
      </c>
      <c r="D44" t="s">
        <v>237</v>
      </c>
      <c r="E44">
        <v>91876623</v>
      </c>
      <c r="F44" t="s">
        <v>94</v>
      </c>
      <c r="G44" t="s">
        <v>238</v>
      </c>
      <c r="H44" s="19">
        <v>250</v>
      </c>
      <c r="I44">
        <v>0</v>
      </c>
      <c r="J44" t="s">
        <v>232</v>
      </c>
    </row>
    <row r="45" spans="1:10" x14ac:dyDescent="0.2">
      <c r="A45" t="s">
        <v>88</v>
      </c>
      <c r="B45" t="s">
        <v>87</v>
      </c>
      <c r="C45">
        <v>147615564</v>
      </c>
      <c r="D45" t="s">
        <v>233</v>
      </c>
      <c r="E45">
        <v>91876621</v>
      </c>
      <c r="F45" t="s">
        <v>94</v>
      </c>
      <c r="G45" t="s">
        <v>234</v>
      </c>
      <c r="H45" s="19">
        <v>250</v>
      </c>
      <c r="I45">
        <v>0</v>
      </c>
      <c r="J45" t="s">
        <v>232</v>
      </c>
    </row>
    <row r="46" spans="1:10" x14ac:dyDescent="0.2">
      <c r="A46" t="s">
        <v>88</v>
      </c>
      <c r="B46" t="s">
        <v>92</v>
      </c>
      <c r="C46">
        <v>228224425</v>
      </c>
      <c r="D46" t="s">
        <v>239</v>
      </c>
      <c r="E46">
        <v>132717805</v>
      </c>
      <c r="F46" t="s">
        <v>94</v>
      </c>
      <c r="G46" t="s">
        <v>240</v>
      </c>
      <c r="H46" s="19">
        <v>750</v>
      </c>
      <c r="I46">
        <v>3.6</v>
      </c>
      <c r="J46" t="s">
        <v>241</v>
      </c>
    </row>
    <row r="47" spans="1:10" x14ac:dyDescent="0.2">
      <c r="A47" t="s">
        <v>88</v>
      </c>
      <c r="B47" t="s">
        <v>92</v>
      </c>
      <c r="C47">
        <v>228237550</v>
      </c>
      <c r="D47" t="s">
        <v>246</v>
      </c>
      <c r="E47">
        <v>132728023</v>
      </c>
      <c r="F47" t="s">
        <v>94</v>
      </c>
      <c r="G47" t="s">
        <v>247</v>
      </c>
      <c r="H47" s="19">
        <v>750</v>
      </c>
      <c r="I47">
        <v>3.6</v>
      </c>
      <c r="J47" t="s">
        <v>241</v>
      </c>
    </row>
    <row r="48" spans="1:10" x14ac:dyDescent="0.2">
      <c r="A48" t="s">
        <v>88</v>
      </c>
      <c r="B48" t="s">
        <v>92</v>
      </c>
      <c r="C48">
        <v>228231585</v>
      </c>
      <c r="D48" t="s">
        <v>242</v>
      </c>
      <c r="E48">
        <v>132723336</v>
      </c>
      <c r="F48" t="s">
        <v>94</v>
      </c>
      <c r="G48" t="s">
        <v>243</v>
      </c>
      <c r="H48" s="19">
        <v>750</v>
      </c>
      <c r="I48">
        <v>3.6</v>
      </c>
      <c r="J48" t="s">
        <v>241</v>
      </c>
    </row>
    <row r="49" spans="1:10" x14ac:dyDescent="0.2">
      <c r="A49" t="s">
        <v>88</v>
      </c>
      <c r="B49" t="s">
        <v>92</v>
      </c>
      <c r="C49">
        <v>228237551</v>
      </c>
      <c r="D49" t="s">
        <v>248</v>
      </c>
      <c r="E49">
        <v>132728024</v>
      </c>
      <c r="F49" t="s">
        <v>94</v>
      </c>
      <c r="G49" t="s">
        <v>249</v>
      </c>
      <c r="H49" s="19">
        <v>750</v>
      </c>
      <c r="I49">
        <v>3.6</v>
      </c>
      <c r="J49" t="s">
        <v>241</v>
      </c>
    </row>
    <row r="50" spans="1:10" x14ac:dyDescent="0.2">
      <c r="A50" t="s">
        <v>88</v>
      </c>
      <c r="B50" t="s">
        <v>92</v>
      </c>
      <c r="C50">
        <v>228237549</v>
      </c>
      <c r="D50" t="s">
        <v>244</v>
      </c>
      <c r="E50">
        <v>132728022</v>
      </c>
      <c r="F50" t="s">
        <v>94</v>
      </c>
      <c r="G50" t="s">
        <v>245</v>
      </c>
      <c r="H50" s="19">
        <v>750</v>
      </c>
      <c r="I50">
        <v>3.6</v>
      </c>
      <c r="J50" t="s">
        <v>241</v>
      </c>
    </row>
    <row r="51" spans="1:10" x14ac:dyDescent="0.2">
      <c r="A51" t="s">
        <v>88</v>
      </c>
      <c r="B51" t="s">
        <v>92</v>
      </c>
      <c r="C51">
        <v>228237552</v>
      </c>
      <c r="D51" t="s">
        <v>93</v>
      </c>
      <c r="E51">
        <v>132728025</v>
      </c>
      <c r="F51" t="s">
        <v>94</v>
      </c>
      <c r="G51" t="s">
        <v>95</v>
      </c>
      <c r="H51" s="19">
        <v>750</v>
      </c>
      <c r="I51">
        <v>3.6</v>
      </c>
      <c r="J51" t="s">
        <v>241</v>
      </c>
    </row>
    <row r="52" spans="1:10" x14ac:dyDescent="0.2">
      <c r="A52" t="s">
        <v>88</v>
      </c>
      <c r="B52" t="s">
        <v>347</v>
      </c>
      <c r="C52">
        <v>132660532</v>
      </c>
      <c r="D52" t="s">
        <v>348</v>
      </c>
      <c r="E52">
        <v>79838058</v>
      </c>
      <c r="F52" t="s">
        <v>165</v>
      </c>
      <c r="G52" t="s">
        <v>349</v>
      </c>
      <c r="H52" s="19">
        <v>1000</v>
      </c>
      <c r="I52">
        <v>2</v>
      </c>
      <c r="J52" t="s">
        <v>330</v>
      </c>
    </row>
    <row r="53" spans="1:10" x14ac:dyDescent="0.2">
      <c r="A53" t="s">
        <v>88</v>
      </c>
      <c r="B53" t="s">
        <v>347</v>
      </c>
      <c r="C53">
        <v>132660014</v>
      </c>
      <c r="D53" t="s">
        <v>348</v>
      </c>
      <c r="E53">
        <v>79838058</v>
      </c>
      <c r="F53" t="s">
        <v>103</v>
      </c>
      <c r="G53" t="s">
        <v>352</v>
      </c>
      <c r="H53" s="19">
        <v>1000</v>
      </c>
      <c r="I53">
        <v>2</v>
      </c>
      <c r="J53" t="s">
        <v>330</v>
      </c>
    </row>
    <row r="54" spans="1:10" x14ac:dyDescent="0.2">
      <c r="A54" t="s">
        <v>88</v>
      </c>
      <c r="B54" t="s">
        <v>347</v>
      </c>
      <c r="C54">
        <v>132660533</v>
      </c>
      <c r="D54" t="s">
        <v>350</v>
      </c>
      <c r="E54">
        <v>79838059</v>
      </c>
      <c r="F54" t="s">
        <v>165</v>
      </c>
      <c r="G54" t="s">
        <v>351</v>
      </c>
      <c r="H54" s="19">
        <v>1000</v>
      </c>
      <c r="I54">
        <v>2</v>
      </c>
      <c r="J54" t="s">
        <v>330</v>
      </c>
    </row>
    <row r="55" spans="1:10" x14ac:dyDescent="0.2">
      <c r="A55" t="s">
        <v>88</v>
      </c>
      <c r="B55" t="s">
        <v>347</v>
      </c>
      <c r="C55">
        <v>132660015</v>
      </c>
      <c r="D55" t="s">
        <v>350</v>
      </c>
      <c r="E55">
        <v>79838059</v>
      </c>
      <c r="F55" t="s">
        <v>103</v>
      </c>
      <c r="G55" t="s">
        <v>353</v>
      </c>
      <c r="H55" s="19">
        <v>1000</v>
      </c>
      <c r="I55">
        <v>2</v>
      </c>
      <c r="J55" t="s">
        <v>330</v>
      </c>
    </row>
    <row r="56" spans="1:10" x14ac:dyDescent="0.2">
      <c r="A56" t="s">
        <v>88</v>
      </c>
      <c r="B56" t="s">
        <v>96</v>
      </c>
      <c r="C56">
        <v>232092510</v>
      </c>
      <c r="D56" t="s">
        <v>97</v>
      </c>
      <c r="E56">
        <v>135803078</v>
      </c>
      <c r="F56" t="s">
        <v>94</v>
      </c>
      <c r="G56" t="s">
        <v>98</v>
      </c>
      <c r="H56" s="19">
        <v>1160</v>
      </c>
      <c r="I56">
        <v>28.8</v>
      </c>
      <c r="J56" t="s">
        <v>258</v>
      </c>
    </row>
    <row r="57" spans="1:10" x14ac:dyDescent="0.2">
      <c r="A57" t="s">
        <v>88</v>
      </c>
      <c r="B57" t="s">
        <v>96</v>
      </c>
      <c r="C57">
        <v>232092514</v>
      </c>
      <c r="D57" t="s">
        <v>99</v>
      </c>
      <c r="E57">
        <v>135803082</v>
      </c>
      <c r="F57" t="s">
        <v>94</v>
      </c>
      <c r="G57" t="s">
        <v>100</v>
      </c>
      <c r="H57" s="19">
        <v>1160</v>
      </c>
      <c r="I57">
        <v>28.8</v>
      </c>
      <c r="J57" t="s">
        <v>258</v>
      </c>
    </row>
    <row r="58" spans="1:10" x14ac:dyDescent="0.2">
      <c r="A58" t="s">
        <v>88</v>
      </c>
      <c r="B58" t="s">
        <v>96</v>
      </c>
      <c r="C58">
        <v>232092511</v>
      </c>
      <c r="D58" t="s">
        <v>259</v>
      </c>
      <c r="E58">
        <v>135803079</v>
      </c>
      <c r="F58" t="s">
        <v>94</v>
      </c>
      <c r="G58" t="s">
        <v>260</v>
      </c>
      <c r="H58" s="19">
        <v>1160</v>
      </c>
      <c r="I58">
        <v>28.8</v>
      </c>
      <c r="J58" t="s">
        <v>258</v>
      </c>
    </row>
    <row r="59" spans="1:10" x14ac:dyDescent="0.2">
      <c r="A59" t="s">
        <v>88</v>
      </c>
      <c r="B59" t="s">
        <v>96</v>
      </c>
      <c r="C59">
        <v>232774296</v>
      </c>
      <c r="D59" t="s">
        <v>265</v>
      </c>
      <c r="E59">
        <v>136387620</v>
      </c>
      <c r="F59" t="s">
        <v>94</v>
      </c>
      <c r="G59" t="s">
        <v>266</v>
      </c>
      <c r="H59" s="19">
        <v>1160</v>
      </c>
      <c r="I59">
        <v>28.8</v>
      </c>
      <c r="J59" t="s">
        <v>258</v>
      </c>
    </row>
    <row r="60" spans="1:10" x14ac:dyDescent="0.2">
      <c r="A60" t="s">
        <v>88</v>
      </c>
      <c r="B60" t="s">
        <v>96</v>
      </c>
      <c r="C60">
        <v>232092512</v>
      </c>
      <c r="D60" t="s">
        <v>261</v>
      </c>
      <c r="E60">
        <v>135803080</v>
      </c>
      <c r="F60" t="s">
        <v>94</v>
      </c>
      <c r="G60" t="s">
        <v>262</v>
      </c>
      <c r="H60" s="19">
        <v>1160</v>
      </c>
      <c r="I60">
        <v>28.8</v>
      </c>
      <c r="J60" t="s">
        <v>258</v>
      </c>
    </row>
    <row r="61" spans="1:10" x14ac:dyDescent="0.2">
      <c r="A61" t="s">
        <v>88</v>
      </c>
      <c r="B61" t="s">
        <v>96</v>
      </c>
      <c r="C61">
        <v>232092513</v>
      </c>
      <c r="D61" t="s">
        <v>263</v>
      </c>
      <c r="E61">
        <v>135803081</v>
      </c>
      <c r="F61" t="s">
        <v>94</v>
      </c>
      <c r="G61" t="s">
        <v>264</v>
      </c>
      <c r="H61" s="19">
        <v>1160</v>
      </c>
      <c r="I61">
        <v>28.8</v>
      </c>
      <c r="J61" t="s">
        <v>258</v>
      </c>
    </row>
    <row r="62" spans="1:10" x14ac:dyDescent="0.2">
      <c r="A62" t="s">
        <v>88</v>
      </c>
      <c r="B62" t="s">
        <v>101</v>
      </c>
      <c r="C62">
        <v>216187378</v>
      </c>
      <c r="D62" t="s">
        <v>285</v>
      </c>
      <c r="E62">
        <v>122913339</v>
      </c>
      <c r="F62" t="s">
        <v>103</v>
      </c>
      <c r="G62" t="s">
        <v>286</v>
      </c>
      <c r="H62" s="19">
        <v>1060</v>
      </c>
      <c r="I62">
        <v>7.72</v>
      </c>
      <c r="J62" t="s">
        <v>284</v>
      </c>
    </row>
    <row r="63" spans="1:10" x14ac:dyDescent="0.2">
      <c r="A63" t="s">
        <v>88</v>
      </c>
      <c r="B63" t="s">
        <v>101</v>
      </c>
      <c r="C63">
        <v>216187376</v>
      </c>
      <c r="D63" t="s">
        <v>285</v>
      </c>
      <c r="E63">
        <v>122913339</v>
      </c>
      <c r="F63" t="s">
        <v>106</v>
      </c>
      <c r="G63" t="s">
        <v>313</v>
      </c>
      <c r="H63" s="19">
        <v>1060</v>
      </c>
      <c r="I63">
        <v>7.72</v>
      </c>
      <c r="J63" t="s">
        <v>284</v>
      </c>
    </row>
    <row r="64" spans="1:10" x14ac:dyDescent="0.2">
      <c r="A64" t="s">
        <v>88</v>
      </c>
      <c r="B64" t="s">
        <v>101</v>
      </c>
      <c r="C64">
        <v>216187377</v>
      </c>
      <c r="D64" t="s">
        <v>102</v>
      </c>
      <c r="E64">
        <v>122913338</v>
      </c>
      <c r="F64" t="s">
        <v>103</v>
      </c>
      <c r="G64" t="s">
        <v>104</v>
      </c>
      <c r="H64" s="19">
        <v>1060</v>
      </c>
      <c r="I64">
        <v>7.72</v>
      </c>
      <c r="J64" t="s">
        <v>284</v>
      </c>
    </row>
    <row r="65" spans="1:10" x14ac:dyDescent="0.2">
      <c r="A65" t="s">
        <v>88</v>
      </c>
      <c r="B65" t="s">
        <v>101</v>
      </c>
      <c r="C65">
        <v>216187375</v>
      </c>
      <c r="D65" t="s">
        <v>102</v>
      </c>
      <c r="E65">
        <v>122913338</v>
      </c>
      <c r="F65" t="s">
        <v>106</v>
      </c>
      <c r="G65" t="s">
        <v>312</v>
      </c>
      <c r="H65" s="19">
        <v>1060</v>
      </c>
      <c r="I65">
        <v>7.72</v>
      </c>
      <c r="J65" t="s">
        <v>284</v>
      </c>
    </row>
    <row r="66" spans="1:10" x14ac:dyDescent="0.2">
      <c r="A66" t="s">
        <v>88</v>
      </c>
      <c r="B66" t="s">
        <v>101</v>
      </c>
      <c r="C66">
        <v>216187380</v>
      </c>
      <c r="D66" t="s">
        <v>287</v>
      </c>
      <c r="E66">
        <v>122913340</v>
      </c>
      <c r="F66" t="s">
        <v>103</v>
      </c>
      <c r="G66" t="s">
        <v>288</v>
      </c>
      <c r="H66" s="19">
        <v>1060</v>
      </c>
      <c r="I66">
        <v>7.72</v>
      </c>
      <c r="J66" t="s">
        <v>284</v>
      </c>
    </row>
    <row r="67" spans="1:10" x14ac:dyDescent="0.2">
      <c r="A67" t="s">
        <v>88</v>
      </c>
      <c r="B67" t="s">
        <v>101</v>
      </c>
      <c r="C67">
        <v>216187379</v>
      </c>
      <c r="D67" t="s">
        <v>287</v>
      </c>
      <c r="E67">
        <v>122913340</v>
      </c>
      <c r="F67" t="s">
        <v>106</v>
      </c>
      <c r="G67" t="s">
        <v>314</v>
      </c>
      <c r="H67" s="19">
        <v>1060</v>
      </c>
      <c r="I67">
        <v>7.72</v>
      </c>
      <c r="J67" t="s">
        <v>284</v>
      </c>
    </row>
    <row r="68" spans="1:10" x14ac:dyDescent="0.2">
      <c r="A68" t="s">
        <v>88</v>
      </c>
      <c r="B68" t="s">
        <v>101</v>
      </c>
      <c r="C68">
        <v>216185271</v>
      </c>
      <c r="D68" t="s">
        <v>105</v>
      </c>
      <c r="E68">
        <v>122911437</v>
      </c>
      <c r="F68" t="s">
        <v>103</v>
      </c>
      <c r="G68" t="s">
        <v>283</v>
      </c>
      <c r="H68" s="19">
        <v>1060</v>
      </c>
      <c r="I68">
        <v>7.72</v>
      </c>
      <c r="J68" t="s">
        <v>284</v>
      </c>
    </row>
    <row r="69" spans="1:10" x14ac:dyDescent="0.2">
      <c r="A69" t="s">
        <v>88</v>
      </c>
      <c r="B69" t="s">
        <v>101</v>
      </c>
      <c r="C69">
        <v>216185270</v>
      </c>
      <c r="D69" t="s">
        <v>105</v>
      </c>
      <c r="E69">
        <v>122911437</v>
      </c>
      <c r="F69" t="s">
        <v>106</v>
      </c>
      <c r="G69" t="s">
        <v>107</v>
      </c>
      <c r="H69" s="19">
        <v>1060</v>
      </c>
      <c r="I69">
        <v>7.72</v>
      </c>
      <c r="J69" t="s">
        <v>284</v>
      </c>
    </row>
    <row r="70" spans="1:10" x14ac:dyDescent="0.2">
      <c r="A70" t="s">
        <v>88</v>
      </c>
      <c r="B70" t="s">
        <v>101</v>
      </c>
      <c r="C70">
        <v>139655860</v>
      </c>
      <c r="D70" t="s">
        <v>275</v>
      </c>
      <c r="E70">
        <v>85499250</v>
      </c>
      <c r="F70" t="s">
        <v>103</v>
      </c>
      <c r="G70" t="s">
        <v>276</v>
      </c>
      <c r="H70" s="19">
        <v>1300</v>
      </c>
      <c r="I70">
        <v>0.12</v>
      </c>
      <c r="J70" t="s">
        <v>277</v>
      </c>
    </row>
    <row r="71" spans="1:10" x14ac:dyDescent="0.2">
      <c r="A71" t="s">
        <v>88</v>
      </c>
      <c r="B71" t="s">
        <v>101</v>
      </c>
      <c r="C71">
        <v>139655152</v>
      </c>
      <c r="D71" t="s">
        <v>275</v>
      </c>
      <c r="E71">
        <v>85499250</v>
      </c>
      <c r="F71" t="s">
        <v>106</v>
      </c>
      <c r="G71" t="s">
        <v>309</v>
      </c>
      <c r="H71" s="19">
        <v>1300</v>
      </c>
      <c r="I71">
        <v>0.12</v>
      </c>
      <c r="J71" t="s">
        <v>277</v>
      </c>
    </row>
    <row r="72" spans="1:10" x14ac:dyDescent="0.2">
      <c r="A72" t="s">
        <v>88</v>
      </c>
      <c r="B72" t="s">
        <v>101</v>
      </c>
      <c r="C72">
        <v>139655861</v>
      </c>
      <c r="D72" t="s">
        <v>278</v>
      </c>
      <c r="E72">
        <v>85499251</v>
      </c>
      <c r="F72" t="s">
        <v>103</v>
      </c>
      <c r="G72" t="s">
        <v>279</v>
      </c>
      <c r="H72" s="19">
        <v>1300</v>
      </c>
      <c r="I72">
        <v>0.12</v>
      </c>
      <c r="J72" t="s">
        <v>277</v>
      </c>
    </row>
    <row r="73" spans="1:10" x14ac:dyDescent="0.2">
      <c r="A73" t="s">
        <v>88</v>
      </c>
      <c r="B73" t="s">
        <v>101</v>
      </c>
      <c r="C73">
        <v>139655153</v>
      </c>
      <c r="D73" t="s">
        <v>278</v>
      </c>
      <c r="E73">
        <v>85499251</v>
      </c>
      <c r="F73" t="s">
        <v>106</v>
      </c>
      <c r="G73" t="s">
        <v>310</v>
      </c>
      <c r="H73" s="19">
        <v>1300</v>
      </c>
      <c r="I73">
        <v>0.12</v>
      </c>
      <c r="J73" t="s">
        <v>277</v>
      </c>
    </row>
    <row r="74" spans="1:10" x14ac:dyDescent="0.2">
      <c r="A74" t="s">
        <v>88</v>
      </c>
      <c r="B74" t="s">
        <v>101</v>
      </c>
      <c r="C74">
        <v>146805193</v>
      </c>
      <c r="D74" t="s">
        <v>108</v>
      </c>
      <c r="E74">
        <v>91264095</v>
      </c>
      <c r="F74" t="s">
        <v>103</v>
      </c>
      <c r="G74" t="s">
        <v>282</v>
      </c>
      <c r="H74" s="19">
        <v>1300</v>
      </c>
      <c r="I74">
        <v>0.12</v>
      </c>
      <c r="J74" t="s">
        <v>277</v>
      </c>
    </row>
    <row r="75" spans="1:10" x14ac:dyDescent="0.2">
      <c r="A75" t="s">
        <v>88</v>
      </c>
      <c r="B75" t="s">
        <v>101</v>
      </c>
      <c r="C75">
        <v>146805192</v>
      </c>
      <c r="D75" t="s">
        <v>108</v>
      </c>
      <c r="E75">
        <v>91264095</v>
      </c>
      <c r="F75" t="s">
        <v>106</v>
      </c>
      <c r="G75" t="s">
        <v>109</v>
      </c>
      <c r="H75" s="19">
        <v>1300</v>
      </c>
      <c r="I75">
        <v>0.12</v>
      </c>
      <c r="J75" t="s">
        <v>277</v>
      </c>
    </row>
    <row r="76" spans="1:10" x14ac:dyDescent="0.2">
      <c r="A76" t="s">
        <v>88</v>
      </c>
      <c r="B76" t="s">
        <v>101</v>
      </c>
      <c r="C76">
        <v>139655862</v>
      </c>
      <c r="D76" t="s">
        <v>280</v>
      </c>
      <c r="E76">
        <v>85499252</v>
      </c>
      <c r="F76" t="s">
        <v>103</v>
      </c>
      <c r="G76" t="s">
        <v>281</v>
      </c>
      <c r="H76" s="19">
        <v>1300</v>
      </c>
      <c r="I76">
        <v>0.12</v>
      </c>
      <c r="J76" t="s">
        <v>277</v>
      </c>
    </row>
    <row r="77" spans="1:10" x14ac:dyDescent="0.2">
      <c r="A77" t="s">
        <v>88</v>
      </c>
      <c r="B77" t="s">
        <v>101</v>
      </c>
      <c r="C77">
        <v>139655154</v>
      </c>
      <c r="D77" t="s">
        <v>280</v>
      </c>
      <c r="E77">
        <v>85499252</v>
      </c>
      <c r="F77" t="s">
        <v>106</v>
      </c>
      <c r="G77" t="s">
        <v>311</v>
      </c>
      <c r="H77" s="19">
        <v>1300</v>
      </c>
      <c r="I77">
        <v>0.12</v>
      </c>
      <c r="J77" t="s">
        <v>277</v>
      </c>
    </row>
    <row r="78" spans="1:10" x14ac:dyDescent="0.2">
      <c r="A78" t="s">
        <v>88</v>
      </c>
      <c r="B78" t="s">
        <v>96</v>
      </c>
      <c r="C78">
        <v>256007153</v>
      </c>
      <c r="D78" t="s">
        <v>110</v>
      </c>
      <c r="E78">
        <v>153086102</v>
      </c>
      <c r="F78" t="s">
        <v>111</v>
      </c>
      <c r="G78" t="s">
        <v>112</v>
      </c>
      <c r="H78" s="19">
        <v>1060</v>
      </c>
      <c r="I78">
        <v>2.4</v>
      </c>
      <c r="J78" t="s">
        <v>267</v>
      </c>
    </row>
    <row r="79" spans="1:10" x14ac:dyDescent="0.2">
      <c r="A79" t="s">
        <v>88</v>
      </c>
      <c r="B79" t="s">
        <v>96</v>
      </c>
      <c r="C79">
        <v>256007150</v>
      </c>
      <c r="D79" t="s">
        <v>113</v>
      </c>
      <c r="E79">
        <v>153086099</v>
      </c>
      <c r="F79" t="s">
        <v>111</v>
      </c>
      <c r="G79" t="s">
        <v>114</v>
      </c>
      <c r="H79" s="19">
        <v>1060</v>
      </c>
      <c r="I79">
        <v>2.4</v>
      </c>
      <c r="J79" t="s">
        <v>267</v>
      </c>
    </row>
    <row r="80" spans="1:10" x14ac:dyDescent="0.2">
      <c r="A80" t="s">
        <v>88</v>
      </c>
      <c r="B80" t="s">
        <v>96</v>
      </c>
      <c r="C80">
        <v>256007151</v>
      </c>
      <c r="D80" t="s">
        <v>115</v>
      </c>
      <c r="E80">
        <v>153086100</v>
      </c>
      <c r="F80" t="s">
        <v>111</v>
      </c>
      <c r="G80" t="s">
        <v>116</v>
      </c>
      <c r="H80" s="19">
        <v>1060</v>
      </c>
      <c r="I80">
        <v>2.4</v>
      </c>
      <c r="J80" t="s">
        <v>267</v>
      </c>
    </row>
    <row r="81" spans="1:10" x14ac:dyDescent="0.2">
      <c r="A81" t="s">
        <v>88</v>
      </c>
      <c r="B81" t="s">
        <v>96</v>
      </c>
      <c r="C81">
        <v>256007154</v>
      </c>
      <c r="D81" t="s">
        <v>117</v>
      </c>
      <c r="E81">
        <v>153086103</v>
      </c>
      <c r="F81" t="s">
        <v>111</v>
      </c>
      <c r="G81" t="s">
        <v>118</v>
      </c>
      <c r="H81" s="19">
        <v>1060</v>
      </c>
      <c r="I81">
        <v>2.4</v>
      </c>
      <c r="J81" t="s">
        <v>267</v>
      </c>
    </row>
    <row r="82" spans="1:10" x14ac:dyDescent="0.2">
      <c r="A82" t="s">
        <v>88</v>
      </c>
      <c r="B82" t="s">
        <v>96</v>
      </c>
      <c r="C82">
        <v>256007152</v>
      </c>
      <c r="D82" t="s">
        <v>119</v>
      </c>
      <c r="E82">
        <v>153086101</v>
      </c>
      <c r="F82" t="s">
        <v>111</v>
      </c>
      <c r="G82" t="s">
        <v>120</v>
      </c>
      <c r="H82" s="19">
        <v>1060</v>
      </c>
      <c r="I82">
        <v>2.4</v>
      </c>
      <c r="J82" t="s">
        <v>267</v>
      </c>
    </row>
    <row r="83" spans="1:10" x14ac:dyDescent="0.2">
      <c r="A83" t="s">
        <v>88</v>
      </c>
      <c r="B83" t="s">
        <v>96</v>
      </c>
      <c r="C83">
        <v>256007149</v>
      </c>
      <c r="D83" t="s">
        <v>121</v>
      </c>
      <c r="E83">
        <v>153086098</v>
      </c>
      <c r="F83" t="s">
        <v>111</v>
      </c>
      <c r="G83" t="s">
        <v>122</v>
      </c>
      <c r="H83" s="19">
        <v>1060</v>
      </c>
      <c r="I83">
        <v>2.4</v>
      </c>
      <c r="J83" t="s">
        <v>267</v>
      </c>
    </row>
    <row r="84" spans="1:10" x14ac:dyDescent="0.2">
      <c r="A84" t="s">
        <v>88</v>
      </c>
      <c r="B84" t="s">
        <v>96</v>
      </c>
      <c r="C84">
        <v>256007148</v>
      </c>
      <c r="D84" t="s">
        <v>123</v>
      </c>
      <c r="E84">
        <v>153086097</v>
      </c>
      <c r="F84" t="s">
        <v>111</v>
      </c>
      <c r="G84" t="s">
        <v>124</v>
      </c>
      <c r="H84" s="19">
        <v>1060</v>
      </c>
      <c r="I84">
        <v>2.4</v>
      </c>
      <c r="J84" t="s">
        <v>267</v>
      </c>
    </row>
    <row r="85" spans="1:10" x14ac:dyDescent="0.2">
      <c r="A85" t="s">
        <v>88</v>
      </c>
      <c r="B85" t="s">
        <v>96</v>
      </c>
      <c r="C85">
        <v>228265904</v>
      </c>
      <c r="D85" t="s">
        <v>125</v>
      </c>
      <c r="E85">
        <v>132752078</v>
      </c>
      <c r="F85" t="s">
        <v>94</v>
      </c>
      <c r="G85" t="s">
        <v>126</v>
      </c>
      <c r="H85" s="19">
        <v>1230</v>
      </c>
      <c r="I85">
        <v>10.71</v>
      </c>
      <c r="J85" t="s">
        <v>253</v>
      </c>
    </row>
    <row r="86" spans="1:10" x14ac:dyDescent="0.2">
      <c r="A86" t="s">
        <v>88</v>
      </c>
      <c r="B86" t="s">
        <v>96</v>
      </c>
      <c r="C86">
        <v>228265905</v>
      </c>
      <c r="D86" t="s">
        <v>256</v>
      </c>
      <c r="E86">
        <v>132752079</v>
      </c>
      <c r="F86" t="s">
        <v>94</v>
      </c>
      <c r="G86" t="s">
        <v>257</v>
      </c>
      <c r="H86" s="19">
        <v>1230</v>
      </c>
      <c r="I86">
        <v>10.71</v>
      </c>
      <c r="J86" t="s">
        <v>253</v>
      </c>
    </row>
    <row r="87" spans="1:10" x14ac:dyDescent="0.2">
      <c r="A87" t="s">
        <v>88</v>
      </c>
      <c r="B87" t="s">
        <v>96</v>
      </c>
      <c r="C87">
        <v>228265903</v>
      </c>
      <c r="D87" t="s">
        <v>254</v>
      </c>
      <c r="E87">
        <v>132752077</v>
      </c>
      <c r="F87" t="s">
        <v>94</v>
      </c>
      <c r="G87" t="s">
        <v>255</v>
      </c>
      <c r="H87" s="19">
        <v>1230</v>
      </c>
      <c r="I87">
        <v>10.71</v>
      </c>
      <c r="J87" t="s">
        <v>253</v>
      </c>
    </row>
    <row r="88" spans="1:10" x14ac:dyDescent="0.2">
      <c r="A88" t="s">
        <v>88</v>
      </c>
      <c r="B88" t="s">
        <v>96</v>
      </c>
      <c r="C88">
        <v>228265906</v>
      </c>
      <c r="D88" t="s">
        <v>127</v>
      </c>
      <c r="E88">
        <v>132752080</v>
      </c>
      <c r="F88" t="s">
        <v>94</v>
      </c>
      <c r="G88" t="s">
        <v>128</v>
      </c>
      <c r="H88" s="19">
        <v>1230</v>
      </c>
      <c r="I88">
        <v>10.71</v>
      </c>
      <c r="J88" t="s">
        <v>253</v>
      </c>
    </row>
    <row r="89" spans="1:10" x14ac:dyDescent="0.2">
      <c r="A89" t="s">
        <v>88</v>
      </c>
      <c r="B89" t="s">
        <v>96</v>
      </c>
      <c r="C89">
        <v>228262236</v>
      </c>
      <c r="D89" t="s">
        <v>129</v>
      </c>
      <c r="E89">
        <v>132748784</v>
      </c>
      <c r="F89" t="s">
        <v>94</v>
      </c>
      <c r="G89" t="s">
        <v>130</v>
      </c>
      <c r="H89" s="19">
        <v>1230</v>
      </c>
      <c r="I89">
        <v>10.71</v>
      </c>
      <c r="J89" t="s">
        <v>253</v>
      </c>
    </row>
    <row r="90" spans="1:10" x14ac:dyDescent="0.2">
      <c r="A90" t="s">
        <v>88</v>
      </c>
      <c r="B90" t="s">
        <v>318</v>
      </c>
      <c r="C90">
        <v>233752151</v>
      </c>
      <c r="D90" t="s">
        <v>335</v>
      </c>
      <c r="E90">
        <v>137217052</v>
      </c>
      <c r="F90" t="s">
        <v>94</v>
      </c>
      <c r="G90" t="s">
        <v>336</v>
      </c>
      <c r="H90" s="19">
        <v>750</v>
      </c>
      <c r="I90">
        <v>1</v>
      </c>
      <c r="J90" t="s">
        <v>330</v>
      </c>
    </row>
    <row r="91" spans="1:10" x14ac:dyDescent="0.2">
      <c r="A91" t="s">
        <v>88</v>
      </c>
      <c r="B91" t="s">
        <v>318</v>
      </c>
      <c r="C91">
        <v>233752152</v>
      </c>
      <c r="D91" t="s">
        <v>339</v>
      </c>
      <c r="E91">
        <v>137217054</v>
      </c>
      <c r="F91" t="s">
        <v>94</v>
      </c>
      <c r="G91" t="s">
        <v>340</v>
      </c>
      <c r="H91" s="19">
        <v>750</v>
      </c>
      <c r="I91">
        <v>1</v>
      </c>
      <c r="J91" t="s">
        <v>330</v>
      </c>
    </row>
    <row r="92" spans="1:10" x14ac:dyDescent="0.2">
      <c r="A92" t="s">
        <v>88</v>
      </c>
      <c r="B92" t="s">
        <v>318</v>
      </c>
      <c r="C92">
        <v>231867970</v>
      </c>
      <c r="D92" t="s">
        <v>333</v>
      </c>
      <c r="E92">
        <v>135638619</v>
      </c>
      <c r="F92" t="s">
        <v>94</v>
      </c>
      <c r="G92" t="s">
        <v>334</v>
      </c>
      <c r="H92" s="19">
        <v>750</v>
      </c>
      <c r="I92">
        <v>1</v>
      </c>
      <c r="J92" t="s">
        <v>330</v>
      </c>
    </row>
    <row r="93" spans="1:10" x14ac:dyDescent="0.2">
      <c r="A93" t="s">
        <v>88</v>
      </c>
      <c r="B93" t="s">
        <v>318</v>
      </c>
      <c r="C93">
        <v>231867969</v>
      </c>
      <c r="D93" t="s">
        <v>331</v>
      </c>
      <c r="E93">
        <v>135638618</v>
      </c>
      <c r="F93" t="s">
        <v>94</v>
      </c>
      <c r="G93" t="s">
        <v>332</v>
      </c>
      <c r="H93" s="19">
        <v>750</v>
      </c>
      <c r="I93">
        <v>1</v>
      </c>
      <c r="J93" t="s">
        <v>330</v>
      </c>
    </row>
    <row r="94" spans="1:10" x14ac:dyDescent="0.2">
      <c r="A94" t="s">
        <v>88</v>
      </c>
      <c r="B94" t="s">
        <v>318</v>
      </c>
      <c r="C94">
        <v>231754574</v>
      </c>
      <c r="D94" t="s">
        <v>328</v>
      </c>
      <c r="E94">
        <v>135550737</v>
      </c>
      <c r="F94" t="s">
        <v>94</v>
      </c>
      <c r="G94" t="s">
        <v>329</v>
      </c>
      <c r="H94" s="19">
        <v>750</v>
      </c>
      <c r="I94">
        <v>1</v>
      </c>
      <c r="J94" t="s">
        <v>330</v>
      </c>
    </row>
    <row r="95" spans="1:10" x14ac:dyDescent="0.2">
      <c r="A95" t="s">
        <v>88</v>
      </c>
      <c r="B95" t="s">
        <v>318</v>
      </c>
      <c r="C95">
        <v>233752155</v>
      </c>
      <c r="D95" t="s">
        <v>343</v>
      </c>
      <c r="E95">
        <v>137217057</v>
      </c>
      <c r="F95" t="s">
        <v>94</v>
      </c>
      <c r="G95" t="s">
        <v>344</v>
      </c>
      <c r="H95" s="19">
        <v>750</v>
      </c>
      <c r="I95">
        <v>1</v>
      </c>
      <c r="J95" t="s">
        <v>330</v>
      </c>
    </row>
    <row r="96" spans="1:10" x14ac:dyDescent="0.2">
      <c r="A96" t="s">
        <v>88</v>
      </c>
      <c r="B96" t="s">
        <v>318</v>
      </c>
      <c r="C96">
        <v>233752160</v>
      </c>
      <c r="D96" t="s">
        <v>345</v>
      </c>
      <c r="E96">
        <v>137217058</v>
      </c>
      <c r="F96" t="s">
        <v>94</v>
      </c>
      <c r="G96" t="s">
        <v>346</v>
      </c>
      <c r="H96" s="19">
        <v>750</v>
      </c>
      <c r="I96">
        <v>1</v>
      </c>
      <c r="J96" t="s">
        <v>330</v>
      </c>
    </row>
    <row r="97" spans="1:10" x14ac:dyDescent="0.2">
      <c r="A97" t="s">
        <v>88</v>
      </c>
      <c r="B97" t="s">
        <v>318</v>
      </c>
      <c r="C97">
        <v>233752153</v>
      </c>
      <c r="D97" t="s">
        <v>341</v>
      </c>
      <c r="E97">
        <v>137217055</v>
      </c>
      <c r="F97" t="s">
        <v>94</v>
      </c>
      <c r="G97" t="s">
        <v>342</v>
      </c>
      <c r="H97" s="19">
        <v>750</v>
      </c>
      <c r="I97">
        <v>1</v>
      </c>
      <c r="J97" t="s">
        <v>330</v>
      </c>
    </row>
    <row r="98" spans="1:10" x14ac:dyDescent="0.2">
      <c r="A98" t="s">
        <v>88</v>
      </c>
      <c r="B98" t="s">
        <v>318</v>
      </c>
      <c r="C98">
        <v>233752150</v>
      </c>
      <c r="D98" t="s">
        <v>337</v>
      </c>
      <c r="E98">
        <v>137217053</v>
      </c>
      <c r="F98" t="s">
        <v>94</v>
      </c>
      <c r="G98" t="s">
        <v>338</v>
      </c>
      <c r="H98" s="19">
        <v>750</v>
      </c>
      <c r="I98">
        <v>1</v>
      </c>
      <c r="J98" t="s">
        <v>330</v>
      </c>
    </row>
    <row r="99" spans="1:10" x14ac:dyDescent="0.2">
      <c r="A99" t="s">
        <v>88</v>
      </c>
      <c r="B99" t="s">
        <v>318</v>
      </c>
      <c r="C99">
        <v>147616825</v>
      </c>
      <c r="D99" t="s">
        <v>326</v>
      </c>
      <c r="E99">
        <v>91877423</v>
      </c>
      <c r="F99" t="s">
        <v>94</v>
      </c>
      <c r="G99" t="s">
        <v>327</v>
      </c>
      <c r="H99" s="19">
        <v>400</v>
      </c>
      <c r="I99">
        <v>0</v>
      </c>
      <c r="J99" t="s">
        <v>321</v>
      </c>
    </row>
    <row r="100" spans="1:10" x14ac:dyDescent="0.2">
      <c r="A100" t="s">
        <v>88</v>
      </c>
      <c r="B100" t="s">
        <v>318</v>
      </c>
      <c r="C100">
        <v>147616824</v>
      </c>
      <c r="D100" t="s">
        <v>324</v>
      </c>
      <c r="E100">
        <v>91877422</v>
      </c>
      <c r="F100" t="s">
        <v>94</v>
      </c>
      <c r="G100" t="s">
        <v>325</v>
      </c>
      <c r="H100" s="19">
        <v>400</v>
      </c>
      <c r="I100">
        <v>0</v>
      </c>
      <c r="J100" t="s">
        <v>321</v>
      </c>
    </row>
    <row r="101" spans="1:10" x14ac:dyDescent="0.2">
      <c r="A101" t="s">
        <v>88</v>
      </c>
      <c r="B101" t="s">
        <v>318</v>
      </c>
      <c r="C101">
        <v>147616820</v>
      </c>
      <c r="D101" t="s">
        <v>319</v>
      </c>
      <c r="E101">
        <v>91877420</v>
      </c>
      <c r="F101" t="s">
        <v>94</v>
      </c>
      <c r="G101" t="s">
        <v>320</v>
      </c>
      <c r="H101" s="19">
        <v>400</v>
      </c>
      <c r="I101">
        <v>0</v>
      </c>
      <c r="J101" t="s">
        <v>321</v>
      </c>
    </row>
    <row r="102" spans="1:10" x14ac:dyDescent="0.2">
      <c r="A102" t="s">
        <v>88</v>
      </c>
      <c r="B102" t="s">
        <v>318</v>
      </c>
      <c r="C102">
        <v>147616822</v>
      </c>
      <c r="D102" t="s">
        <v>322</v>
      </c>
      <c r="E102">
        <v>91877421</v>
      </c>
      <c r="F102" t="s">
        <v>94</v>
      </c>
      <c r="G102" t="s">
        <v>323</v>
      </c>
      <c r="H102" s="19">
        <v>400</v>
      </c>
      <c r="I102">
        <v>0</v>
      </c>
      <c r="J102" t="s">
        <v>321</v>
      </c>
    </row>
    <row r="103" spans="1:10" x14ac:dyDescent="0.2">
      <c r="A103" t="s">
        <v>88</v>
      </c>
      <c r="B103" t="s">
        <v>131</v>
      </c>
      <c r="C103">
        <v>245138586</v>
      </c>
      <c r="D103" t="s">
        <v>369</v>
      </c>
      <c r="E103">
        <v>145486524</v>
      </c>
      <c r="F103" t="s">
        <v>111</v>
      </c>
      <c r="G103" t="s">
        <v>370</v>
      </c>
      <c r="H103" s="19">
        <v>200</v>
      </c>
      <c r="I103">
        <v>2.4</v>
      </c>
      <c r="J103" t="s">
        <v>366</v>
      </c>
    </row>
    <row r="104" spans="1:10" x14ac:dyDescent="0.2">
      <c r="A104" t="s">
        <v>88</v>
      </c>
      <c r="B104" t="s">
        <v>131</v>
      </c>
      <c r="C104">
        <v>245138589</v>
      </c>
      <c r="D104" t="s">
        <v>373</v>
      </c>
      <c r="E104">
        <v>145486527</v>
      </c>
      <c r="F104" t="s">
        <v>111</v>
      </c>
      <c r="G104" t="s">
        <v>374</v>
      </c>
      <c r="H104" s="19">
        <v>200</v>
      </c>
      <c r="I104">
        <v>2.4</v>
      </c>
      <c r="J104" t="s">
        <v>366</v>
      </c>
    </row>
    <row r="105" spans="1:10" x14ac:dyDescent="0.2">
      <c r="A105" t="s">
        <v>88</v>
      </c>
      <c r="B105" t="s">
        <v>131</v>
      </c>
      <c r="C105">
        <v>245138584</v>
      </c>
      <c r="D105" t="s">
        <v>132</v>
      </c>
      <c r="E105">
        <v>145486522</v>
      </c>
      <c r="F105" t="s">
        <v>111</v>
      </c>
      <c r="G105" t="s">
        <v>133</v>
      </c>
      <c r="H105" s="19">
        <v>200</v>
      </c>
      <c r="I105">
        <v>2.4</v>
      </c>
      <c r="J105" t="s">
        <v>366</v>
      </c>
    </row>
    <row r="106" spans="1:10" x14ac:dyDescent="0.2">
      <c r="A106" t="s">
        <v>88</v>
      </c>
      <c r="B106" t="s">
        <v>131</v>
      </c>
      <c r="C106">
        <v>245138583</v>
      </c>
      <c r="D106" t="s">
        <v>367</v>
      </c>
      <c r="E106">
        <v>145486521</v>
      </c>
      <c r="F106" t="s">
        <v>111</v>
      </c>
      <c r="G106" t="s">
        <v>368</v>
      </c>
      <c r="H106" s="19">
        <v>200</v>
      </c>
      <c r="I106">
        <v>2.4</v>
      </c>
      <c r="J106" t="s">
        <v>366</v>
      </c>
    </row>
    <row r="107" spans="1:10" x14ac:dyDescent="0.2">
      <c r="A107" t="s">
        <v>88</v>
      </c>
      <c r="B107" t="s">
        <v>131</v>
      </c>
      <c r="C107">
        <v>245138582</v>
      </c>
      <c r="D107" t="s">
        <v>134</v>
      </c>
      <c r="E107">
        <v>145486520</v>
      </c>
      <c r="F107" t="s">
        <v>111</v>
      </c>
      <c r="G107" t="s">
        <v>135</v>
      </c>
      <c r="H107" s="19">
        <v>200</v>
      </c>
      <c r="I107">
        <v>2.4</v>
      </c>
      <c r="J107" t="s">
        <v>366</v>
      </c>
    </row>
    <row r="108" spans="1:10" x14ac:dyDescent="0.2">
      <c r="A108" t="s">
        <v>88</v>
      </c>
      <c r="B108" t="s">
        <v>131</v>
      </c>
      <c r="C108">
        <v>245138585</v>
      </c>
      <c r="D108" t="s">
        <v>136</v>
      </c>
      <c r="E108">
        <v>145486523</v>
      </c>
      <c r="F108" t="s">
        <v>111</v>
      </c>
      <c r="G108" t="s">
        <v>137</v>
      </c>
      <c r="H108" s="19">
        <v>200</v>
      </c>
      <c r="I108">
        <v>2.4</v>
      </c>
      <c r="J108" t="s">
        <v>366</v>
      </c>
    </row>
    <row r="109" spans="1:10" x14ac:dyDescent="0.2">
      <c r="A109" t="s">
        <v>88</v>
      </c>
      <c r="B109" t="s">
        <v>131</v>
      </c>
      <c r="C109">
        <v>245138588</v>
      </c>
      <c r="D109" t="s">
        <v>371</v>
      </c>
      <c r="E109">
        <v>145486526</v>
      </c>
      <c r="F109" t="s">
        <v>111</v>
      </c>
      <c r="G109" t="s">
        <v>372</v>
      </c>
      <c r="H109" s="19">
        <v>200</v>
      </c>
      <c r="I109">
        <v>2.4</v>
      </c>
      <c r="J109" t="s">
        <v>366</v>
      </c>
    </row>
    <row r="110" spans="1:10" x14ac:dyDescent="0.2">
      <c r="A110" t="s">
        <v>88</v>
      </c>
      <c r="B110" t="s">
        <v>131</v>
      </c>
      <c r="C110">
        <v>245138581</v>
      </c>
      <c r="D110" t="s">
        <v>138</v>
      </c>
      <c r="E110">
        <v>145486519</v>
      </c>
      <c r="F110" t="s">
        <v>111</v>
      </c>
      <c r="G110" t="s">
        <v>139</v>
      </c>
      <c r="H110" s="19">
        <v>200</v>
      </c>
      <c r="I110">
        <v>2.4</v>
      </c>
      <c r="J110" t="s">
        <v>366</v>
      </c>
    </row>
    <row r="111" spans="1:10" x14ac:dyDescent="0.2">
      <c r="A111" t="s">
        <v>88</v>
      </c>
      <c r="B111" t="s">
        <v>131</v>
      </c>
      <c r="C111">
        <v>245138587</v>
      </c>
      <c r="D111" t="s">
        <v>140</v>
      </c>
      <c r="E111">
        <v>145486525</v>
      </c>
      <c r="F111" t="s">
        <v>111</v>
      </c>
      <c r="G111" t="s">
        <v>141</v>
      </c>
      <c r="H111" s="19">
        <v>200</v>
      </c>
      <c r="I111">
        <v>2.4</v>
      </c>
      <c r="J111" t="s">
        <v>366</v>
      </c>
    </row>
    <row r="112" spans="1:10" x14ac:dyDescent="0.2">
      <c r="A112" t="s">
        <v>88</v>
      </c>
      <c r="B112" t="s">
        <v>376</v>
      </c>
      <c r="C112">
        <v>262950149</v>
      </c>
      <c r="D112" t="s">
        <v>412</v>
      </c>
      <c r="E112">
        <v>157978538</v>
      </c>
      <c r="F112" t="s">
        <v>111</v>
      </c>
      <c r="G112" t="s">
        <v>413</v>
      </c>
      <c r="H112" s="19">
        <v>650</v>
      </c>
      <c r="I112">
        <v>1.75</v>
      </c>
      <c r="J112" t="s">
        <v>414</v>
      </c>
    </row>
    <row r="113" spans="1:10" x14ac:dyDescent="0.2">
      <c r="A113" t="s">
        <v>88</v>
      </c>
      <c r="B113" t="s">
        <v>376</v>
      </c>
      <c r="C113">
        <v>262950150</v>
      </c>
      <c r="D113" t="s">
        <v>415</v>
      </c>
      <c r="E113">
        <v>157978539</v>
      </c>
      <c r="F113" t="s">
        <v>111</v>
      </c>
      <c r="G113" t="s">
        <v>416</v>
      </c>
      <c r="H113" s="19">
        <v>650</v>
      </c>
      <c r="I113">
        <v>1.75</v>
      </c>
      <c r="J113" t="s">
        <v>414</v>
      </c>
    </row>
    <row r="114" spans="1:10" x14ac:dyDescent="0.2">
      <c r="A114" t="s">
        <v>88</v>
      </c>
      <c r="B114" t="s">
        <v>376</v>
      </c>
      <c r="C114">
        <v>262950151</v>
      </c>
      <c r="D114" t="s">
        <v>417</v>
      </c>
      <c r="E114">
        <v>157978540</v>
      </c>
      <c r="F114" t="s">
        <v>111</v>
      </c>
      <c r="G114" t="s">
        <v>418</v>
      </c>
      <c r="H114" s="19">
        <v>650</v>
      </c>
      <c r="I114">
        <v>1.75</v>
      </c>
      <c r="J114" t="s">
        <v>414</v>
      </c>
    </row>
    <row r="115" spans="1:10" x14ac:dyDescent="0.2">
      <c r="A115" t="s">
        <v>88</v>
      </c>
      <c r="B115" t="s">
        <v>376</v>
      </c>
      <c r="C115">
        <v>262950152</v>
      </c>
      <c r="D115" t="s">
        <v>419</v>
      </c>
      <c r="E115">
        <v>157978541</v>
      </c>
      <c r="F115" t="s">
        <v>111</v>
      </c>
      <c r="G115" t="s">
        <v>420</v>
      </c>
      <c r="H115" s="19">
        <v>650</v>
      </c>
      <c r="I115">
        <v>1.75</v>
      </c>
      <c r="J115" t="s">
        <v>414</v>
      </c>
    </row>
    <row r="116" spans="1:10" x14ac:dyDescent="0.2">
      <c r="A116" t="s">
        <v>88</v>
      </c>
      <c r="B116" t="s">
        <v>376</v>
      </c>
      <c r="C116">
        <v>262950153</v>
      </c>
      <c r="D116" t="s">
        <v>421</v>
      </c>
      <c r="E116">
        <v>157978542</v>
      </c>
      <c r="F116" t="s">
        <v>111</v>
      </c>
      <c r="G116" t="s">
        <v>422</v>
      </c>
      <c r="H116" s="19">
        <v>650</v>
      </c>
      <c r="I116">
        <v>1.75</v>
      </c>
      <c r="J116" t="s">
        <v>414</v>
      </c>
    </row>
    <row r="117" spans="1:10" x14ac:dyDescent="0.2">
      <c r="A117" t="s">
        <v>88</v>
      </c>
      <c r="B117" t="s">
        <v>376</v>
      </c>
      <c r="C117">
        <v>262950154</v>
      </c>
      <c r="D117" t="s">
        <v>423</v>
      </c>
      <c r="E117">
        <v>157978543</v>
      </c>
      <c r="F117" t="s">
        <v>111</v>
      </c>
      <c r="G117" t="s">
        <v>424</v>
      </c>
      <c r="H117" s="19">
        <v>650</v>
      </c>
      <c r="I117">
        <v>1.75</v>
      </c>
      <c r="J117" t="s">
        <v>414</v>
      </c>
    </row>
    <row r="118" spans="1:10" x14ac:dyDescent="0.2">
      <c r="A118" t="s">
        <v>88</v>
      </c>
      <c r="B118" t="s">
        <v>376</v>
      </c>
      <c r="C118">
        <v>262950155</v>
      </c>
      <c r="D118" t="s">
        <v>425</v>
      </c>
      <c r="E118">
        <v>157978544</v>
      </c>
      <c r="F118" t="s">
        <v>111</v>
      </c>
      <c r="G118" t="s">
        <v>426</v>
      </c>
      <c r="H118" s="19">
        <v>650</v>
      </c>
      <c r="I118">
        <v>1.75</v>
      </c>
      <c r="J118" t="s">
        <v>414</v>
      </c>
    </row>
    <row r="119" spans="1:10" x14ac:dyDescent="0.2">
      <c r="A119" t="s">
        <v>88</v>
      </c>
      <c r="B119" t="s">
        <v>376</v>
      </c>
      <c r="C119">
        <v>262957927</v>
      </c>
      <c r="D119" t="s">
        <v>432</v>
      </c>
      <c r="E119">
        <v>157984062</v>
      </c>
      <c r="F119" t="s">
        <v>111</v>
      </c>
      <c r="G119" t="s">
        <v>433</v>
      </c>
      <c r="H119" s="19">
        <v>750</v>
      </c>
      <c r="I119">
        <v>2.4</v>
      </c>
      <c r="J119" t="s">
        <v>429</v>
      </c>
    </row>
    <row r="120" spans="1:10" x14ac:dyDescent="0.2">
      <c r="A120" t="s">
        <v>88</v>
      </c>
      <c r="B120" t="s">
        <v>376</v>
      </c>
      <c r="C120">
        <v>262957926</v>
      </c>
      <c r="D120" t="s">
        <v>430</v>
      </c>
      <c r="E120">
        <v>157984061</v>
      </c>
      <c r="F120" t="s">
        <v>111</v>
      </c>
      <c r="G120" t="s">
        <v>431</v>
      </c>
      <c r="H120" s="19">
        <v>750</v>
      </c>
      <c r="I120">
        <v>2.4</v>
      </c>
      <c r="J120" t="s">
        <v>429</v>
      </c>
    </row>
    <row r="121" spans="1:10" x14ac:dyDescent="0.2">
      <c r="A121" t="s">
        <v>88</v>
      </c>
      <c r="B121" t="s">
        <v>376</v>
      </c>
      <c r="C121">
        <v>262957925</v>
      </c>
      <c r="D121" t="s">
        <v>427</v>
      </c>
      <c r="E121">
        <v>157984060</v>
      </c>
      <c r="F121" t="s">
        <v>111</v>
      </c>
      <c r="G121" t="s">
        <v>428</v>
      </c>
      <c r="H121" s="19">
        <v>750</v>
      </c>
      <c r="I121">
        <v>2.4</v>
      </c>
      <c r="J121" t="s">
        <v>429</v>
      </c>
    </row>
    <row r="122" spans="1:10" x14ac:dyDescent="0.2">
      <c r="A122" t="s">
        <v>88</v>
      </c>
      <c r="B122" t="s">
        <v>434</v>
      </c>
      <c r="C122">
        <v>262960263</v>
      </c>
      <c r="D122" t="s">
        <v>435</v>
      </c>
      <c r="E122">
        <v>157985925</v>
      </c>
      <c r="F122" t="s">
        <v>165</v>
      </c>
      <c r="G122" t="s">
        <v>436</v>
      </c>
      <c r="H122" s="19">
        <v>1060</v>
      </c>
      <c r="I122">
        <v>2.4</v>
      </c>
      <c r="J122" t="s">
        <v>437</v>
      </c>
    </row>
    <row r="123" spans="1:10" x14ac:dyDescent="0.2">
      <c r="A123" t="s">
        <v>88</v>
      </c>
      <c r="B123" t="s">
        <v>434</v>
      </c>
      <c r="C123">
        <v>262960264</v>
      </c>
      <c r="D123" t="s">
        <v>435</v>
      </c>
      <c r="E123">
        <v>157985925</v>
      </c>
      <c r="F123" t="s">
        <v>171</v>
      </c>
      <c r="G123" t="s">
        <v>438</v>
      </c>
      <c r="H123" s="19">
        <v>1060</v>
      </c>
      <c r="I123">
        <v>2.4</v>
      </c>
      <c r="J123" t="s">
        <v>437</v>
      </c>
    </row>
    <row r="124" spans="1:10" x14ac:dyDescent="0.2">
      <c r="A124" t="s">
        <v>88</v>
      </c>
      <c r="B124" t="s">
        <v>434</v>
      </c>
      <c r="C124">
        <v>262960262</v>
      </c>
      <c r="D124" t="s">
        <v>435</v>
      </c>
      <c r="E124">
        <v>157985925</v>
      </c>
      <c r="F124" t="s">
        <v>439</v>
      </c>
      <c r="G124" t="s">
        <v>440</v>
      </c>
      <c r="H124" s="19">
        <v>1060</v>
      </c>
      <c r="I124">
        <v>2.4</v>
      </c>
      <c r="J124" t="s">
        <v>437</v>
      </c>
    </row>
    <row r="125" spans="1:10" x14ac:dyDescent="0.2">
      <c r="A125" t="s">
        <v>88</v>
      </c>
      <c r="B125" t="s">
        <v>376</v>
      </c>
      <c r="C125">
        <v>134945989</v>
      </c>
      <c r="D125" t="s">
        <v>409</v>
      </c>
      <c r="E125">
        <v>81730864</v>
      </c>
      <c r="F125" t="s">
        <v>111</v>
      </c>
      <c r="G125" t="s">
        <v>410</v>
      </c>
      <c r="H125" s="19">
        <v>300</v>
      </c>
      <c r="I125">
        <v>0</v>
      </c>
      <c r="J125" t="s">
        <v>411</v>
      </c>
    </row>
    <row r="126" spans="1:10" x14ac:dyDescent="0.2">
      <c r="A126" t="s">
        <v>88</v>
      </c>
      <c r="B126" t="s">
        <v>160</v>
      </c>
      <c r="C126">
        <v>228255791</v>
      </c>
      <c r="D126" t="s">
        <v>450</v>
      </c>
      <c r="E126">
        <v>132743483</v>
      </c>
      <c r="F126" t="s">
        <v>94</v>
      </c>
      <c r="G126" t="s">
        <v>451</v>
      </c>
      <c r="H126" s="19">
        <v>750</v>
      </c>
      <c r="I126">
        <v>3.6</v>
      </c>
      <c r="J126" t="s">
        <v>443</v>
      </c>
    </row>
    <row r="127" spans="1:10" x14ac:dyDescent="0.2">
      <c r="A127" t="s">
        <v>88</v>
      </c>
      <c r="B127" t="s">
        <v>160</v>
      </c>
      <c r="C127">
        <v>228255794</v>
      </c>
      <c r="D127" t="s">
        <v>454</v>
      </c>
      <c r="E127">
        <v>132743486</v>
      </c>
      <c r="F127" t="s">
        <v>94</v>
      </c>
      <c r="G127" t="s">
        <v>455</v>
      </c>
      <c r="H127" s="19">
        <v>750</v>
      </c>
      <c r="I127">
        <v>3.6</v>
      </c>
      <c r="J127" t="s">
        <v>443</v>
      </c>
    </row>
    <row r="128" spans="1:10" x14ac:dyDescent="0.2">
      <c r="A128" t="s">
        <v>88</v>
      </c>
      <c r="B128" t="s">
        <v>160</v>
      </c>
      <c r="C128">
        <v>228255782</v>
      </c>
      <c r="D128" t="s">
        <v>444</v>
      </c>
      <c r="E128">
        <v>132743479</v>
      </c>
      <c r="F128" t="s">
        <v>94</v>
      </c>
      <c r="G128" t="s">
        <v>445</v>
      </c>
      <c r="H128" s="19">
        <v>750</v>
      </c>
      <c r="I128">
        <v>3.6</v>
      </c>
      <c r="J128" t="s">
        <v>443</v>
      </c>
    </row>
    <row r="129" spans="1:10" x14ac:dyDescent="0.2">
      <c r="A129" t="s">
        <v>88</v>
      </c>
      <c r="B129" t="s">
        <v>160</v>
      </c>
      <c r="C129">
        <v>228255783</v>
      </c>
      <c r="D129" t="s">
        <v>446</v>
      </c>
      <c r="E129">
        <v>132743480</v>
      </c>
      <c r="F129" t="s">
        <v>94</v>
      </c>
      <c r="G129" t="s">
        <v>447</v>
      </c>
      <c r="H129" s="19">
        <v>750</v>
      </c>
      <c r="I129">
        <v>3.6</v>
      </c>
      <c r="J129" t="s">
        <v>443</v>
      </c>
    </row>
    <row r="130" spans="1:10" x14ac:dyDescent="0.2">
      <c r="A130" t="s">
        <v>88</v>
      </c>
      <c r="B130" t="s">
        <v>160</v>
      </c>
      <c r="C130">
        <v>228255793</v>
      </c>
      <c r="D130" t="s">
        <v>452</v>
      </c>
      <c r="E130">
        <v>132743485</v>
      </c>
      <c r="F130" t="s">
        <v>94</v>
      </c>
      <c r="G130" t="s">
        <v>453</v>
      </c>
      <c r="H130" s="19">
        <v>750</v>
      </c>
      <c r="I130">
        <v>3.6</v>
      </c>
      <c r="J130" t="s">
        <v>443</v>
      </c>
    </row>
    <row r="131" spans="1:10" x14ac:dyDescent="0.2">
      <c r="A131" t="s">
        <v>88</v>
      </c>
      <c r="B131" t="s">
        <v>160</v>
      </c>
      <c r="C131">
        <v>228255786</v>
      </c>
      <c r="D131" t="s">
        <v>448</v>
      </c>
      <c r="E131">
        <v>132743482</v>
      </c>
      <c r="F131" t="s">
        <v>94</v>
      </c>
      <c r="G131" t="s">
        <v>449</v>
      </c>
      <c r="H131" s="19">
        <v>750</v>
      </c>
      <c r="I131">
        <v>3.6</v>
      </c>
      <c r="J131" t="s">
        <v>443</v>
      </c>
    </row>
    <row r="132" spans="1:10" x14ac:dyDescent="0.2">
      <c r="A132" t="s">
        <v>88</v>
      </c>
      <c r="B132" t="s">
        <v>160</v>
      </c>
      <c r="C132">
        <v>228245531</v>
      </c>
      <c r="D132" t="s">
        <v>441</v>
      </c>
      <c r="E132">
        <v>132734962</v>
      </c>
      <c r="F132" t="s">
        <v>94</v>
      </c>
      <c r="G132" t="s">
        <v>442</v>
      </c>
      <c r="H132" s="19">
        <v>750</v>
      </c>
      <c r="I132">
        <v>3.6</v>
      </c>
      <c r="J132" t="s">
        <v>443</v>
      </c>
    </row>
    <row r="133" spans="1:10" x14ac:dyDescent="0.2">
      <c r="A133" t="s">
        <v>88</v>
      </c>
      <c r="B133" t="s">
        <v>160</v>
      </c>
      <c r="C133">
        <v>228255804</v>
      </c>
      <c r="D133" t="s">
        <v>161</v>
      </c>
      <c r="E133">
        <v>132743489</v>
      </c>
      <c r="F133" t="s">
        <v>94</v>
      </c>
      <c r="G133" t="s">
        <v>162</v>
      </c>
      <c r="H133" s="19">
        <v>750</v>
      </c>
      <c r="I133">
        <v>3.6</v>
      </c>
      <c r="J133" t="s">
        <v>443</v>
      </c>
    </row>
    <row r="134" spans="1:10" x14ac:dyDescent="0.2">
      <c r="A134" t="s">
        <v>88</v>
      </c>
      <c r="B134" t="s">
        <v>101</v>
      </c>
      <c r="C134">
        <v>262945277</v>
      </c>
      <c r="D134" t="s">
        <v>292</v>
      </c>
      <c r="E134">
        <v>157975068</v>
      </c>
      <c r="F134" t="s">
        <v>111</v>
      </c>
      <c r="G134" t="s">
        <v>293</v>
      </c>
      <c r="H134" s="19">
        <v>600</v>
      </c>
      <c r="I134">
        <v>2.4</v>
      </c>
      <c r="J134" t="s">
        <v>294</v>
      </c>
    </row>
    <row r="135" spans="1:10" x14ac:dyDescent="0.2">
      <c r="A135" t="s">
        <v>88</v>
      </c>
      <c r="B135" t="s">
        <v>101</v>
      </c>
      <c r="C135">
        <v>262945278</v>
      </c>
      <c r="D135" t="s">
        <v>295</v>
      </c>
      <c r="E135">
        <v>157975069</v>
      </c>
      <c r="F135" t="s">
        <v>111</v>
      </c>
      <c r="G135" t="s">
        <v>296</v>
      </c>
      <c r="H135" s="19">
        <v>600</v>
      </c>
      <c r="I135">
        <v>1.61</v>
      </c>
      <c r="J135" t="s">
        <v>294</v>
      </c>
    </row>
    <row r="136" spans="1:10" x14ac:dyDescent="0.2">
      <c r="A136" t="s">
        <v>88</v>
      </c>
      <c r="B136" t="s">
        <v>101</v>
      </c>
      <c r="C136">
        <v>262945279</v>
      </c>
      <c r="D136" t="s">
        <v>297</v>
      </c>
      <c r="E136">
        <v>157975070</v>
      </c>
      <c r="F136" t="s">
        <v>111</v>
      </c>
      <c r="G136" t="s">
        <v>298</v>
      </c>
      <c r="H136" s="19">
        <v>600</v>
      </c>
      <c r="I136">
        <v>1.61</v>
      </c>
      <c r="J136" t="s">
        <v>294</v>
      </c>
    </row>
    <row r="137" spans="1:10" x14ac:dyDescent="0.2">
      <c r="A137" t="s">
        <v>88</v>
      </c>
      <c r="B137" t="s">
        <v>101</v>
      </c>
      <c r="C137">
        <v>264612841</v>
      </c>
      <c r="D137" t="s">
        <v>307</v>
      </c>
      <c r="E137">
        <v>159037970</v>
      </c>
      <c r="F137" t="s">
        <v>111</v>
      </c>
      <c r="G137" t="s">
        <v>308</v>
      </c>
      <c r="H137" s="19">
        <v>600</v>
      </c>
      <c r="I137">
        <v>1.61</v>
      </c>
      <c r="J137" t="s">
        <v>294</v>
      </c>
    </row>
    <row r="138" spans="1:10" x14ac:dyDescent="0.2">
      <c r="A138" t="s">
        <v>88</v>
      </c>
      <c r="B138" t="s">
        <v>101</v>
      </c>
      <c r="C138">
        <v>262945280</v>
      </c>
      <c r="D138" t="s">
        <v>299</v>
      </c>
      <c r="E138">
        <v>157975071</v>
      </c>
      <c r="F138" t="s">
        <v>111</v>
      </c>
      <c r="G138" t="s">
        <v>300</v>
      </c>
      <c r="H138" s="19">
        <v>600</v>
      </c>
      <c r="I138">
        <v>1.61</v>
      </c>
      <c r="J138" t="s">
        <v>294</v>
      </c>
    </row>
    <row r="139" spans="1:10" x14ac:dyDescent="0.2">
      <c r="A139" t="s">
        <v>88</v>
      </c>
      <c r="B139" t="s">
        <v>101</v>
      </c>
      <c r="C139">
        <v>262945281</v>
      </c>
      <c r="D139" t="s">
        <v>301</v>
      </c>
      <c r="E139">
        <v>157975072</v>
      </c>
      <c r="F139" t="s">
        <v>111</v>
      </c>
      <c r="G139" t="s">
        <v>302</v>
      </c>
      <c r="H139" s="19">
        <v>600</v>
      </c>
      <c r="I139">
        <v>1.61</v>
      </c>
      <c r="J139" t="s">
        <v>294</v>
      </c>
    </row>
    <row r="140" spans="1:10" x14ac:dyDescent="0.2">
      <c r="A140" t="s">
        <v>88</v>
      </c>
      <c r="B140" t="s">
        <v>101</v>
      </c>
      <c r="C140">
        <v>262945282</v>
      </c>
      <c r="D140" t="s">
        <v>303</v>
      </c>
      <c r="E140">
        <v>157975073</v>
      </c>
      <c r="F140" t="s">
        <v>111</v>
      </c>
      <c r="G140" t="s">
        <v>304</v>
      </c>
      <c r="H140" s="19">
        <v>600</v>
      </c>
      <c r="I140">
        <v>1.61</v>
      </c>
      <c r="J140" t="s">
        <v>294</v>
      </c>
    </row>
    <row r="141" spans="1:10" x14ac:dyDescent="0.2">
      <c r="A141" t="s">
        <v>88</v>
      </c>
      <c r="B141" t="s">
        <v>101</v>
      </c>
      <c r="C141">
        <v>262945283</v>
      </c>
      <c r="D141" t="s">
        <v>305</v>
      </c>
      <c r="E141">
        <v>157975074</v>
      </c>
      <c r="F141" t="s">
        <v>111</v>
      </c>
      <c r="G141" t="s">
        <v>306</v>
      </c>
      <c r="H141" s="19">
        <v>600</v>
      </c>
      <c r="I141">
        <v>1.61</v>
      </c>
      <c r="J141" t="s">
        <v>294</v>
      </c>
    </row>
    <row r="142" spans="1:10" x14ac:dyDescent="0.2">
      <c r="A142" t="s">
        <v>88</v>
      </c>
      <c r="B142" t="s">
        <v>456</v>
      </c>
      <c r="C142">
        <v>134188434</v>
      </c>
      <c r="D142" t="s">
        <v>457</v>
      </c>
      <c r="E142">
        <v>81173723</v>
      </c>
      <c r="F142" t="s">
        <v>111</v>
      </c>
      <c r="G142" t="s">
        <v>458</v>
      </c>
      <c r="H142" s="19">
        <v>350</v>
      </c>
      <c r="I142">
        <v>0</v>
      </c>
      <c r="J142" t="s">
        <v>459</v>
      </c>
    </row>
    <row r="143" spans="1:10" x14ac:dyDescent="0.2">
      <c r="A143" t="s">
        <v>88</v>
      </c>
      <c r="B143" t="s">
        <v>456</v>
      </c>
      <c r="C143">
        <v>134188435</v>
      </c>
      <c r="D143" t="s">
        <v>460</v>
      </c>
      <c r="E143">
        <v>81173724</v>
      </c>
      <c r="F143" t="s">
        <v>111</v>
      </c>
      <c r="G143" t="s">
        <v>461</v>
      </c>
      <c r="H143" s="19">
        <v>350</v>
      </c>
      <c r="I143">
        <v>0</v>
      </c>
      <c r="J143" t="s">
        <v>459</v>
      </c>
    </row>
    <row r="144" spans="1:10" x14ac:dyDescent="0.2">
      <c r="A144" t="s">
        <v>88</v>
      </c>
      <c r="B144" t="s">
        <v>456</v>
      </c>
      <c r="C144">
        <v>134188436</v>
      </c>
      <c r="D144" t="s">
        <v>462</v>
      </c>
      <c r="E144">
        <v>81173725</v>
      </c>
      <c r="F144" t="s">
        <v>111</v>
      </c>
      <c r="G144" t="s">
        <v>463</v>
      </c>
      <c r="H144" s="19">
        <v>350</v>
      </c>
      <c r="I144">
        <v>0</v>
      </c>
      <c r="J144" t="s">
        <v>459</v>
      </c>
    </row>
    <row r="145" spans="1:10" x14ac:dyDescent="0.2">
      <c r="A145" t="s">
        <v>88</v>
      </c>
      <c r="B145" t="s">
        <v>163</v>
      </c>
      <c r="C145">
        <v>151992138</v>
      </c>
      <c r="D145" t="s">
        <v>467</v>
      </c>
      <c r="E145">
        <v>95441686</v>
      </c>
      <c r="F145" t="s">
        <v>165</v>
      </c>
      <c r="G145" t="s">
        <v>468</v>
      </c>
      <c r="H145" s="19">
        <v>1400</v>
      </c>
      <c r="I145">
        <v>9.77</v>
      </c>
      <c r="J145" t="s">
        <v>466</v>
      </c>
    </row>
    <row r="146" spans="1:10" x14ac:dyDescent="0.2">
      <c r="A146" t="s">
        <v>88</v>
      </c>
      <c r="B146" t="s">
        <v>163</v>
      </c>
      <c r="C146">
        <v>151992137</v>
      </c>
      <c r="D146" t="s">
        <v>467</v>
      </c>
      <c r="E146">
        <v>95441686</v>
      </c>
      <c r="F146" t="s">
        <v>103</v>
      </c>
      <c r="G146" t="s">
        <v>478</v>
      </c>
      <c r="H146" s="19">
        <v>1400</v>
      </c>
      <c r="I146">
        <v>9.77</v>
      </c>
      <c r="J146" t="s">
        <v>466</v>
      </c>
    </row>
    <row r="147" spans="1:10" x14ac:dyDescent="0.2">
      <c r="A147" t="s">
        <v>88</v>
      </c>
      <c r="B147" t="s">
        <v>163</v>
      </c>
      <c r="C147">
        <v>151993986</v>
      </c>
      <c r="D147" t="s">
        <v>471</v>
      </c>
      <c r="E147">
        <v>95443178</v>
      </c>
      <c r="F147" t="s">
        <v>165</v>
      </c>
      <c r="G147" t="s">
        <v>472</v>
      </c>
      <c r="H147" s="19">
        <v>1400</v>
      </c>
      <c r="I147">
        <v>9.77</v>
      </c>
      <c r="J147" t="s">
        <v>466</v>
      </c>
    </row>
    <row r="148" spans="1:10" x14ac:dyDescent="0.2">
      <c r="A148" t="s">
        <v>88</v>
      </c>
      <c r="B148" t="s">
        <v>163</v>
      </c>
      <c r="C148">
        <v>151993985</v>
      </c>
      <c r="D148" t="s">
        <v>471</v>
      </c>
      <c r="E148">
        <v>95443178</v>
      </c>
      <c r="F148" t="s">
        <v>103</v>
      </c>
      <c r="G148" t="s">
        <v>481</v>
      </c>
      <c r="H148" s="19">
        <v>1400</v>
      </c>
      <c r="I148">
        <v>9.77</v>
      </c>
      <c r="J148" t="s">
        <v>466</v>
      </c>
    </row>
    <row r="149" spans="1:10" x14ac:dyDescent="0.2">
      <c r="A149" t="s">
        <v>88</v>
      </c>
      <c r="B149" t="s">
        <v>163</v>
      </c>
      <c r="C149">
        <v>152712320</v>
      </c>
      <c r="D149" t="s">
        <v>475</v>
      </c>
      <c r="E149">
        <v>96032686</v>
      </c>
      <c r="F149" t="s">
        <v>165</v>
      </c>
      <c r="G149" t="s">
        <v>476</v>
      </c>
      <c r="H149" s="19">
        <v>1400</v>
      </c>
      <c r="I149">
        <v>9.77</v>
      </c>
      <c r="J149" t="s">
        <v>466</v>
      </c>
    </row>
    <row r="150" spans="1:10" x14ac:dyDescent="0.2">
      <c r="A150" t="s">
        <v>88</v>
      </c>
      <c r="B150" t="s">
        <v>163</v>
      </c>
      <c r="C150">
        <v>152712319</v>
      </c>
      <c r="D150" t="s">
        <v>475</v>
      </c>
      <c r="E150">
        <v>96032686</v>
      </c>
      <c r="F150" t="s">
        <v>439</v>
      </c>
      <c r="G150" t="s">
        <v>483</v>
      </c>
      <c r="H150" s="19">
        <v>1400</v>
      </c>
      <c r="I150">
        <v>9.77</v>
      </c>
      <c r="J150" t="s">
        <v>466</v>
      </c>
    </row>
    <row r="151" spans="1:10" x14ac:dyDescent="0.2">
      <c r="A151" t="s">
        <v>88</v>
      </c>
      <c r="B151" t="s">
        <v>163</v>
      </c>
      <c r="C151">
        <v>151993417</v>
      </c>
      <c r="D151" t="s">
        <v>469</v>
      </c>
      <c r="E151">
        <v>95442748</v>
      </c>
      <c r="F151" t="s">
        <v>165</v>
      </c>
      <c r="G151" t="s">
        <v>470</v>
      </c>
      <c r="H151" s="19">
        <v>1400</v>
      </c>
      <c r="I151">
        <v>9.77</v>
      </c>
      <c r="J151" t="s">
        <v>466</v>
      </c>
    </row>
    <row r="152" spans="1:10" x14ac:dyDescent="0.2">
      <c r="A152" t="s">
        <v>88</v>
      </c>
      <c r="B152" t="s">
        <v>163</v>
      </c>
      <c r="C152">
        <v>151993416</v>
      </c>
      <c r="D152" t="s">
        <v>469</v>
      </c>
      <c r="E152">
        <v>95442748</v>
      </c>
      <c r="F152" t="s">
        <v>103</v>
      </c>
      <c r="G152" t="s">
        <v>480</v>
      </c>
      <c r="H152" s="19">
        <v>1400</v>
      </c>
      <c r="I152">
        <v>9.77</v>
      </c>
      <c r="J152" t="s">
        <v>466</v>
      </c>
    </row>
    <row r="153" spans="1:10" x14ac:dyDescent="0.2">
      <c r="A153" t="s">
        <v>88</v>
      </c>
      <c r="B153" t="s">
        <v>163</v>
      </c>
      <c r="C153">
        <v>151993989</v>
      </c>
      <c r="D153" t="s">
        <v>473</v>
      </c>
      <c r="E153">
        <v>95443180</v>
      </c>
      <c r="F153" t="s">
        <v>165</v>
      </c>
      <c r="G153" t="s">
        <v>474</v>
      </c>
      <c r="H153" s="19">
        <v>1400</v>
      </c>
      <c r="I153">
        <v>9.77</v>
      </c>
      <c r="J153" t="s">
        <v>466</v>
      </c>
    </row>
    <row r="154" spans="1:10" x14ac:dyDescent="0.2">
      <c r="A154" t="s">
        <v>88</v>
      </c>
      <c r="B154" t="s">
        <v>163</v>
      </c>
      <c r="C154">
        <v>151993988</v>
      </c>
      <c r="D154" t="s">
        <v>473</v>
      </c>
      <c r="E154">
        <v>95443180</v>
      </c>
      <c r="F154" t="s">
        <v>103</v>
      </c>
      <c r="G154" t="s">
        <v>482</v>
      </c>
      <c r="H154" s="19">
        <v>1400</v>
      </c>
      <c r="I154">
        <v>9.77</v>
      </c>
      <c r="J154" t="s">
        <v>466</v>
      </c>
    </row>
    <row r="155" spans="1:10" x14ac:dyDescent="0.2">
      <c r="A155" t="s">
        <v>88</v>
      </c>
      <c r="B155" t="s">
        <v>163</v>
      </c>
      <c r="C155">
        <v>151992369</v>
      </c>
      <c r="D155" t="s">
        <v>164</v>
      </c>
      <c r="E155">
        <v>95441881</v>
      </c>
      <c r="F155" t="s">
        <v>165</v>
      </c>
      <c r="G155" t="s">
        <v>166</v>
      </c>
      <c r="H155" s="19">
        <v>1400</v>
      </c>
      <c r="I155">
        <v>9.77</v>
      </c>
      <c r="J155" t="s">
        <v>466</v>
      </c>
    </row>
    <row r="156" spans="1:10" x14ac:dyDescent="0.2">
      <c r="A156" t="s">
        <v>88</v>
      </c>
      <c r="B156" t="s">
        <v>163</v>
      </c>
      <c r="C156">
        <v>151992368</v>
      </c>
      <c r="D156" t="s">
        <v>164</v>
      </c>
      <c r="E156">
        <v>95441881</v>
      </c>
      <c r="F156" t="s">
        <v>103</v>
      </c>
      <c r="G156" t="s">
        <v>479</v>
      </c>
      <c r="H156" s="19">
        <v>1400</v>
      </c>
      <c r="I156">
        <v>9.77</v>
      </c>
      <c r="J156" t="s">
        <v>466</v>
      </c>
    </row>
    <row r="157" spans="1:10" x14ac:dyDescent="0.2">
      <c r="A157" t="s">
        <v>88</v>
      </c>
      <c r="B157" t="s">
        <v>163</v>
      </c>
      <c r="C157">
        <v>151991144</v>
      </c>
      <c r="D157" t="s">
        <v>464</v>
      </c>
      <c r="E157">
        <v>95440971</v>
      </c>
      <c r="F157" t="s">
        <v>165</v>
      </c>
      <c r="G157" t="s">
        <v>465</v>
      </c>
      <c r="H157" s="19">
        <v>1400</v>
      </c>
      <c r="I157">
        <v>9.77</v>
      </c>
      <c r="J157" t="s">
        <v>466</v>
      </c>
    </row>
    <row r="158" spans="1:10" x14ac:dyDescent="0.2">
      <c r="A158" t="s">
        <v>88</v>
      </c>
      <c r="B158" t="s">
        <v>163</v>
      </c>
      <c r="C158">
        <v>151991143</v>
      </c>
      <c r="D158" t="s">
        <v>464</v>
      </c>
      <c r="E158">
        <v>95440971</v>
      </c>
      <c r="F158" t="s">
        <v>103</v>
      </c>
      <c r="G158" t="s">
        <v>477</v>
      </c>
      <c r="H158" s="19">
        <v>1400</v>
      </c>
      <c r="I158">
        <v>9.77</v>
      </c>
      <c r="J158" t="s">
        <v>466</v>
      </c>
    </row>
    <row r="159" spans="1:10" x14ac:dyDescent="0.2">
      <c r="A159" t="s">
        <v>88</v>
      </c>
      <c r="B159" t="s">
        <v>484</v>
      </c>
      <c r="C159">
        <v>264327563</v>
      </c>
      <c r="D159" t="s">
        <v>494</v>
      </c>
      <c r="E159">
        <v>158845874</v>
      </c>
      <c r="F159" t="s">
        <v>111</v>
      </c>
      <c r="G159" t="s">
        <v>495</v>
      </c>
      <c r="H159" s="19">
        <v>450</v>
      </c>
      <c r="I159">
        <v>2.4</v>
      </c>
      <c r="J159" t="s">
        <v>487</v>
      </c>
    </row>
    <row r="160" spans="1:10" x14ac:dyDescent="0.2">
      <c r="A160" t="s">
        <v>88</v>
      </c>
      <c r="B160" t="s">
        <v>484</v>
      </c>
      <c r="C160">
        <v>262954988</v>
      </c>
      <c r="D160" t="s">
        <v>488</v>
      </c>
      <c r="E160">
        <v>157981984</v>
      </c>
      <c r="F160" t="s">
        <v>111</v>
      </c>
      <c r="G160" t="s">
        <v>489</v>
      </c>
      <c r="H160" s="19">
        <v>450</v>
      </c>
      <c r="I160">
        <v>2.4</v>
      </c>
      <c r="J160" t="s">
        <v>487</v>
      </c>
    </row>
    <row r="161" spans="1:10" x14ac:dyDescent="0.2">
      <c r="A161" t="s">
        <v>88</v>
      </c>
      <c r="B161" t="s">
        <v>484</v>
      </c>
      <c r="C161">
        <v>262954990</v>
      </c>
      <c r="D161" t="s">
        <v>492</v>
      </c>
      <c r="E161">
        <v>157981986</v>
      </c>
      <c r="F161" t="s">
        <v>111</v>
      </c>
      <c r="G161" t="s">
        <v>493</v>
      </c>
      <c r="H161" s="19">
        <v>450</v>
      </c>
      <c r="I161">
        <v>2.4</v>
      </c>
      <c r="J161" t="s">
        <v>487</v>
      </c>
    </row>
    <row r="162" spans="1:10" x14ac:dyDescent="0.2">
      <c r="A162" t="s">
        <v>88</v>
      </c>
      <c r="B162" t="s">
        <v>484</v>
      </c>
      <c r="C162">
        <v>262954989</v>
      </c>
      <c r="D162" t="s">
        <v>490</v>
      </c>
      <c r="E162">
        <v>157981985</v>
      </c>
      <c r="F162" t="s">
        <v>111</v>
      </c>
      <c r="G162" t="s">
        <v>491</v>
      </c>
      <c r="H162" s="19">
        <v>450</v>
      </c>
      <c r="I162">
        <v>2.4</v>
      </c>
      <c r="J162" t="s">
        <v>487</v>
      </c>
    </row>
    <row r="163" spans="1:10" x14ac:dyDescent="0.2">
      <c r="A163" t="s">
        <v>88</v>
      </c>
      <c r="B163" t="s">
        <v>484</v>
      </c>
      <c r="C163">
        <v>262954986</v>
      </c>
      <c r="D163" t="s">
        <v>485</v>
      </c>
      <c r="E163">
        <v>157981982</v>
      </c>
      <c r="F163" t="s">
        <v>111</v>
      </c>
      <c r="G163" t="s">
        <v>486</v>
      </c>
      <c r="H163" s="19">
        <v>450</v>
      </c>
      <c r="I163">
        <v>2.4</v>
      </c>
      <c r="J163" t="s">
        <v>487</v>
      </c>
    </row>
    <row r="164" spans="1:10" x14ac:dyDescent="0.2">
      <c r="A164" t="s">
        <v>88</v>
      </c>
      <c r="B164" t="s">
        <v>92</v>
      </c>
      <c r="C164">
        <v>231012842</v>
      </c>
      <c r="D164" t="s">
        <v>250</v>
      </c>
      <c r="E164">
        <v>134875019</v>
      </c>
      <c r="F164" t="s">
        <v>94</v>
      </c>
      <c r="G164" t="s">
        <v>251</v>
      </c>
      <c r="H164" s="19">
        <v>500</v>
      </c>
      <c r="I164">
        <v>6.72</v>
      </c>
      <c r="J164" t="s">
        <v>252</v>
      </c>
    </row>
    <row r="165" spans="1:10" x14ac:dyDescent="0.2">
      <c r="A165" t="s">
        <v>88</v>
      </c>
      <c r="B165" t="s">
        <v>496</v>
      </c>
      <c r="C165">
        <v>263713664</v>
      </c>
      <c r="D165" t="s">
        <v>521</v>
      </c>
      <c r="E165">
        <v>158462648</v>
      </c>
      <c r="F165" t="s">
        <v>94</v>
      </c>
      <c r="G165" t="s">
        <v>522</v>
      </c>
      <c r="H165" s="19">
        <v>500</v>
      </c>
      <c r="I165">
        <v>0.6</v>
      </c>
      <c r="J165" t="s">
        <v>207</v>
      </c>
    </row>
    <row r="166" spans="1:10" x14ac:dyDescent="0.2">
      <c r="A166" t="s">
        <v>88</v>
      </c>
      <c r="B166" t="s">
        <v>496</v>
      </c>
      <c r="C166">
        <v>263713665</v>
      </c>
      <c r="D166" t="s">
        <v>523</v>
      </c>
      <c r="E166">
        <v>158462649</v>
      </c>
      <c r="F166" t="s">
        <v>94</v>
      </c>
      <c r="G166" t="s">
        <v>524</v>
      </c>
      <c r="H166" s="19">
        <v>500</v>
      </c>
      <c r="I166">
        <v>0.76</v>
      </c>
      <c r="J166" t="s">
        <v>207</v>
      </c>
    </row>
    <row r="167" spans="1:10" x14ac:dyDescent="0.2">
      <c r="A167" t="s">
        <v>88</v>
      </c>
      <c r="B167" t="s">
        <v>496</v>
      </c>
      <c r="C167">
        <v>263713666</v>
      </c>
      <c r="D167" t="s">
        <v>525</v>
      </c>
      <c r="E167">
        <v>158462650</v>
      </c>
      <c r="F167" t="s">
        <v>94</v>
      </c>
      <c r="G167" t="s">
        <v>526</v>
      </c>
      <c r="H167" s="19">
        <v>500</v>
      </c>
      <c r="I167">
        <v>0.6</v>
      </c>
      <c r="J167" t="s">
        <v>207</v>
      </c>
    </row>
    <row r="168" spans="1:10" x14ac:dyDescent="0.2">
      <c r="A168" t="s">
        <v>88</v>
      </c>
      <c r="B168" t="s">
        <v>496</v>
      </c>
      <c r="C168">
        <v>263713667</v>
      </c>
      <c r="D168" t="s">
        <v>527</v>
      </c>
      <c r="E168">
        <v>158462651</v>
      </c>
      <c r="F168" t="s">
        <v>94</v>
      </c>
      <c r="G168" t="s">
        <v>528</v>
      </c>
      <c r="H168" s="19">
        <v>500</v>
      </c>
      <c r="I168">
        <v>0.76</v>
      </c>
      <c r="J168" t="s">
        <v>207</v>
      </c>
    </row>
    <row r="169" spans="1:10" x14ac:dyDescent="0.2">
      <c r="A169" t="s">
        <v>88</v>
      </c>
      <c r="B169" t="s">
        <v>496</v>
      </c>
      <c r="C169">
        <v>263713668</v>
      </c>
      <c r="D169" t="s">
        <v>529</v>
      </c>
      <c r="E169">
        <v>158462652</v>
      </c>
      <c r="F169" t="s">
        <v>94</v>
      </c>
      <c r="G169" t="s">
        <v>530</v>
      </c>
      <c r="H169" s="19">
        <v>500</v>
      </c>
      <c r="I169">
        <v>0.6</v>
      </c>
      <c r="J169" t="s">
        <v>207</v>
      </c>
    </row>
    <row r="170" spans="1:10" x14ac:dyDescent="0.2">
      <c r="A170" t="s">
        <v>88</v>
      </c>
      <c r="B170" t="s">
        <v>496</v>
      </c>
      <c r="C170">
        <v>263713669</v>
      </c>
      <c r="D170" t="s">
        <v>531</v>
      </c>
      <c r="E170">
        <v>158462653</v>
      </c>
      <c r="F170" t="s">
        <v>94</v>
      </c>
      <c r="G170" t="s">
        <v>532</v>
      </c>
      <c r="H170" s="19">
        <v>500</v>
      </c>
      <c r="I170">
        <v>0.76</v>
      </c>
      <c r="J170" t="s">
        <v>207</v>
      </c>
    </row>
    <row r="171" spans="1:10" x14ac:dyDescent="0.2">
      <c r="A171" t="s">
        <v>88</v>
      </c>
      <c r="B171" t="s">
        <v>496</v>
      </c>
      <c r="C171">
        <v>265494708</v>
      </c>
      <c r="D171" t="s">
        <v>559</v>
      </c>
      <c r="E171">
        <v>159644840</v>
      </c>
      <c r="F171" t="s">
        <v>111</v>
      </c>
      <c r="G171" t="s">
        <v>560</v>
      </c>
      <c r="H171" s="19">
        <v>500</v>
      </c>
      <c r="I171">
        <v>0.76</v>
      </c>
      <c r="J171" t="s">
        <v>207</v>
      </c>
    </row>
    <row r="172" spans="1:10" x14ac:dyDescent="0.2">
      <c r="A172" t="s">
        <v>88</v>
      </c>
      <c r="B172" t="s">
        <v>496</v>
      </c>
      <c r="C172">
        <v>265494709</v>
      </c>
      <c r="D172" t="s">
        <v>561</v>
      </c>
      <c r="E172">
        <v>159644841</v>
      </c>
      <c r="F172" t="s">
        <v>111</v>
      </c>
      <c r="G172" t="s">
        <v>562</v>
      </c>
      <c r="H172" s="19">
        <v>500</v>
      </c>
      <c r="I172">
        <v>0.76</v>
      </c>
      <c r="J172" t="s">
        <v>207</v>
      </c>
    </row>
    <row r="173" spans="1:10" x14ac:dyDescent="0.2">
      <c r="A173" t="s">
        <v>88</v>
      </c>
      <c r="B173" t="s">
        <v>496</v>
      </c>
      <c r="C173">
        <v>265494710</v>
      </c>
      <c r="D173" t="s">
        <v>563</v>
      </c>
      <c r="E173">
        <v>159644842</v>
      </c>
      <c r="F173" t="s">
        <v>111</v>
      </c>
      <c r="G173" t="s">
        <v>564</v>
      </c>
      <c r="H173" s="19">
        <v>500</v>
      </c>
      <c r="I173">
        <v>0.76</v>
      </c>
      <c r="J173" t="s">
        <v>207</v>
      </c>
    </row>
    <row r="174" spans="1:10" x14ac:dyDescent="0.2">
      <c r="A174" t="s">
        <v>88</v>
      </c>
      <c r="B174" t="s">
        <v>496</v>
      </c>
      <c r="C174">
        <v>263703294</v>
      </c>
      <c r="D174" t="s">
        <v>497</v>
      </c>
      <c r="E174">
        <v>158455076</v>
      </c>
      <c r="F174" t="s">
        <v>165</v>
      </c>
      <c r="G174" t="s">
        <v>498</v>
      </c>
      <c r="H174" s="19">
        <v>500</v>
      </c>
      <c r="I174">
        <v>0.6</v>
      </c>
      <c r="J174" t="s">
        <v>207</v>
      </c>
    </row>
    <row r="175" spans="1:10" x14ac:dyDescent="0.2">
      <c r="A175" t="s">
        <v>88</v>
      </c>
      <c r="B175" t="s">
        <v>496</v>
      </c>
      <c r="C175">
        <v>263703293</v>
      </c>
      <c r="D175" t="s">
        <v>497</v>
      </c>
      <c r="E175">
        <v>158455076</v>
      </c>
      <c r="F175" t="s">
        <v>103</v>
      </c>
      <c r="G175" t="s">
        <v>513</v>
      </c>
      <c r="H175" s="19">
        <v>500</v>
      </c>
      <c r="I175">
        <v>0.6</v>
      </c>
      <c r="J175" t="s">
        <v>207</v>
      </c>
    </row>
    <row r="176" spans="1:10" x14ac:dyDescent="0.2">
      <c r="A176" t="s">
        <v>88</v>
      </c>
      <c r="B176" t="s">
        <v>496</v>
      </c>
      <c r="C176">
        <v>263703295</v>
      </c>
      <c r="D176" t="s">
        <v>497</v>
      </c>
      <c r="E176">
        <v>158455076</v>
      </c>
      <c r="F176" t="s">
        <v>171</v>
      </c>
      <c r="G176" t="s">
        <v>565</v>
      </c>
      <c r="H176" s="19">
        <v>500</v>
      </c>
      <c r="I176">
        <v>0.6</v>
      </c>
      <c r="J176" t="s">
        <v>207</v>
      </c>
    </row>
    <row r="177" spans="1:10" x14ac:dyDescent="0.2">
      <c r="A177" t="s">
        <v>88</v>
      </c>
      <c r="B177" t="s">
        <v>496</v>
      </c>
      <c r="C177">
        <v>263703296</v>
      </c>
      <c r="D177" t="s">
        <v>535</v>
      </c>
      <c r="E177">
        <v>158455077</v>
      </c>
      <c r="F177" t="s">
        <v>111</v>
      </c>
      <c r="G177" t="s">
        <v>536</v>
      </c>
      <c r="H177" s="19">
        <v>500</v>
      </c>
      <c r="I177">
        <v>0.76</v>
      </c>
      <c r="J177" t="s">
        <v>207</v>
      </c>
    </row>
    <row r="178" spans="1:10" x14ac:dyDescent="0.2">
      <c r="A178" t="s">
        <v>88</v>
      </c>
      <c r="B178" t="s">
        <v>496</v>
      </c>
      <c r="C178">
        <v>263703299</v>
      </c>
      <c r="D178" t="s">
        <v>537</v>
      </c>
      <c r="E178">
        <v>158455078</v>
      </c>
      <c r="F178" t="s">
        <v>111</v>
      </c>
      <c r="G178" t="s">
        <v>538</v>
      </c>
      <c r="H178" s="19">
        <v>500</v>
      </c>
      <c r="I178">
        <v>0.76</v>
      </c>
      <c r="J178" t="s">
        <v>207</v>
      </c>
    </row>
    <row r="179" spans="1:10" x14ac:dyDescent="0.2">
      <c r="A179" t="s">
        <v>88</v>
      </c>
      <c r="B179" t="s">
        <v>496</v>
      </c>
      <c r="C179">
        <v>263703303</v>
      </c>
      <c r="D179" t="s">
        <v>499</v>
      </c>
      <c r="E179">
        <v>158455079</v>
      </c>
      <c r="F179" t="s">
        <v>165</v>
      </c>
      <c r="G179" t="s">
        <v>500</v>
      </c>
      <c r="H179" s="19">
        <v>500</v>
      </c>
      <c r="I179">
        <v>0.6</v>
      </c>
      <c r="J179" t="s">
        <v>207</v>
      </c>
    </row>
    <row r="180" spans="1:10" x14ac:dyDescent="0.2">
      <c r="A180" t="s">
        <v>88</v>
      </c>
      <c r="B180" t="s">
        <v>496</v>
      </c>
      <c r="C180">
        <v>263703302</v>
      </c>
      <c r="D180" t="s">
        <v>499</v>
      </c>
      <c r="E180">
        <v>158455079</v>
      </c>
      <c r="F180" t="s">
        <v>103</v>
      </c>
      <c r="G180" t="s">
        <v>514</v>
      </c>
      <c r="H180" s="19">
        <v>500</v>
      </c>
      <c r="I180">
        <v>0.6</v>
      </c>
      <c r="J180" t="s">
        <v>207</v>
      </c>
    </row>
    <row r="181" spans="1:10" x14ac:dyDescent="0.2">
      <c r="A181" t="s">
        <v>88</v>
      </c>
      <c r="B181" t="s">
        <v>496</v>
      </c>
      <c r="C181">
        <v>263703304</v>
      </c>
      <c r="D181" t="s">
        <v>499</v>
      </c>
      <c r="E181">
        <v>158455079</v>
      </c>
      <c r="F181" t="s">
        <v>171</v>
      </c>
      <c r="G181" t="s">
        <v>566</v>
      </c>
      <c r="H181" s="19">
        <v>500</v>
      </c>
      <c r="I181">
        <v>0.6</v>
      </c>
      <c r="J181" t="s">
        <v>207</v>
      </c>
    </row>
    <row r="182" spans="1:10" x14ac:dyDescent="0.2">
      <c r="A182" t="s">
        <v>88</v>
      </c>
      <c r="B182" t="s">
        <v>496</v>
      </c>
      <c r="C182">
        <v>263703306</v>
      </c>
      <c r="D182" t="s">
        <v>501</v>
      </c>
      <c r="E182">
        <v>158455080</v>
      </c>
      <c r="F182" t="s">
        <v>165</v>
      </c>
      <c r="G182" t="s">
        <v>502</v>
      </c>
      <c r="H182" s="19">
        <v>500</v>
      </c>
      <c r="I182">
        <v>0.6</v>
      </c>
      <c r="J182" t="s">
        <v>207</v>
      </c>
    </row>
    <row r="183" spans="1:10" x14ac:dyDescent="0.2">
      <c r="A183" t="s">
        <v>88</v>
      </c>
      <c r="B183" t="s">
        <v>496</v>
      </c>
      <c r="C183">
        <v>263703305</v>
      </c>
      <c r="D183" t="s">
        <v>501</v>
      </c>
      <c r="E183">
        <v>158455080</v>
      </c>
      <c r="F183" t="s">
        <v>103</v>
      </c>
      <c r="G183" t="s">
        <v>515</v>
      </c>
      <c r="H183" s="19">
        <v>500</v>
      </c>
      <c r="I183">
        <v>0.6</v>
      </c>
      <c r="J183" t="s">
        <v>207</v>
      </c>
    </row>
    <row r="184" spans="1:10" x14ac:dyDescent="0.2">
      <c r="A184" t="s">
        <v>88</v>
      </c>
      <c r="B184" t="s">
        <v>496</v>
      </c>
      <c r="C184">
        <v>263703307</v>
      </c>
      <c r="D184" t="s">
        <v>501</v>
      </c>
      <c r="E184">
        <v>158455080</v>
      </c>
      <c r="F184" t="s">
        <v>171</v>
      </c>
      <c r="G184" t="s">
        <v>567</v>
      </c>
      <c r="H184" s="19">
        <v>500</v>
      </c>
      <c r="I184">
        <v>0.6</v>
      </c>
      <c r="J184" t="s">
        <v>207</v>
      </c>
    </row>
    <row r="185" spans="1:10" x14ac:dyDescent="0.2">
      <c r="A185" t="s">
        <v>88</v>
      </c>
      <c r="B185" t="s">
        <v>496</v>
      </c>
      <c r="C185">
        <v>263703308</v>
      </c>
      <c r="D185" t="s">
        <v>539</v>
      </c>
      <c r="E185">
        <v>158455081</v>
      </c>
      <c r="F185" t="s">
        <v>111</v>
      </c>
      <c r="G185" t="s">
        <v>540</v>
      </c>
      <c r="H185" s="19">
        <v>500</v>
      </c>
      <c r="I185">
        <v>0.76</v>
      </c>
      <c r="J185" t="s">
        <v>207</v>
      </c>
    </row>
    <row r="186" spans="1:10" x14ac:dyDescent="0.2">
      <c r="A186" t="s">
        <v>88</v>
      </c>
      <c r="B186" t="s">
        <v>496</v>
      </c>
      <c r="C186">
        <v>265493865</v>
      </c>
      <c r="D186" t="s">
        <v>553</v>
      </c>
      <c r="E186">
        <v>159644306</v>
      </c>
      <c r="F186" t="s">
        <v>111</v>
      </c>
      <c r="G186" t="s">
        <v>554</v>
      </c>
      <c r="H186" s="19">
        <v>500</v>
      </c>
      <c r="I186">
        <v>0.76</v>
      </c>
      <c r="J186" t="s">
        <v>207</v>
      </c>
    </row>
    <row r="187" spans="1:10" x14ac:dyDescent="0.2">
      <c r="A187" t="s">
        <v>88</v>
      </c>
      <c r="B187" t="s">
        <v>496</v>
      </c>
      <c r="C187">
        <v>265493864</v>
      </c>
      <c r="D187" t="s">
        <v>551</v>
      </c>
      <c r="E187">
        <v>159644305</v>
      </c>
      <c r="F187" t="s">
        <v>111</v>
      </c>
      <c r="G187" t="s">
        <v>552</v>
      </c>
      <c r="H187" s="19">
        <v>500</v>
      </c>
      <c r="I187">
        <v>0.76</v>
      </c>
      <c r="J187" t="s">
        <v>207</v>
      </c>
    </row>
    <row r="188" spans="1:10" x14ac:dyDescent="0.2">
      <c r="A188" t="s">
        <v>88</v>
      </c>
      <c r="B188" t="s">
        <v>496</v>
      </c>
      <c r="C188">
        <v>265493863</v>
      </c>
      <c r="D188" t="s">
        <v>549</v>
      </c>
      <c r="E188">
        <v>159644304</v>
      </c>
      <c r="F188" t="s">
        <v>111</v>
      </c>
      <c r="G188" t="s">
        <v>550</v>
      </c>
      <c r="H188" s="19">
        <v>500</v>
      </c>
      <c r="I188">
        <v>0.76</v>
      </c>
      <c r="J188" t="s">
        <v>207</v>
      </c>
    </row>
    <row r="189" spans="1:10" x14ac:dyDescent="0.2">
      <c r="A189" t="s">
        <v>88</v>
      </c>
      <c r="B189" t="s">
        <v>496</v>
      </c>
      <c r="C189">
        <v>263706438</v>
      </c>
      <c r="D189" t="s">
        <v>503</v>
      </c>
      <c r="E189">
        <v>158457054</v>
      </c>
      <c r="F189" t="s">
        <v>165</v>
      </c>
      <c r="G189" t="s">
        <v>504</v>
      </c>
      <c r="H189" s="19">
        <v>500</v>
      </c>
      <c r="I189">
        <v>0.6</v>
      </c>
      <c r="J189" t="s">
        <v>207</v>
      </c>
    </row>
    <row r="190" spans="1:10" x14ac:dyDescent="0.2">
      <c r="A190" t="s">
        <v>88</v>
      </c>
      <c r="B190" t="s">
        <v>496</v>
      </c>
      <c r="C190">
        <v>263706437</v>
      </c>
      <c r="D190" t="s">
        <v>503</v>
      </c>
      <c r="E190">
        <v>158457054</v>
      </c>
      <c r="F190" t="s">
        <v>103</v>
      </c>
      <c r="G190" t="s">
        <v>516</v>
      </c>
      <c r="H190" s="19">
        <v>500</v>
      </c>
      <c r="I190">
        <v>0.6</v>
      </c>
      <c r="J190" t="s">
        <v>207</v>
      </c>
    </row>
    <row r="191" spans="1:10" x14ac:dyDescent="0.2">
      <c r="A191" t="s">
        <v>88</v>
      </c>
      <c r="B191" t="s">
        <v>496</v>
      </c>
      <c r="C191">
        <v>263706439</v>
      </c>
      <c r="D191" t="s">
        <v>503</v>
      </c>
      <c r="E191">
        <v>158457054</v>
      </c>
      <c r="F191" t="s">
        <v>171</v>
      </c>
      <c r="G191" t="s">
        <v>568</v>
      </c>
      <c r="H191" s="19">
        <v>500</v>
      </c>
      <c r="I191">
        <v>0.6</v>
      </c>
      <c r="J191" t="s">
        <v>207</v>
      </c>
    </row>
    <row r="192" spans="1:10" x14ac:dyDescent="0.2">
      <c r="A192" t="s">
        <v>88</v>
      </c>
      <c r="B192" t="s">
        <v>496</v>
      </c>
      <c r="C192">
        <v>263706441</v>
      </c>
      <c r="D192" t="s">
        <v>505</v>
      </c>
      <c r="E192">
        <v>158457055</v>
      </c>
      <c r="F192" t="s">
        <v>165</v>
      </c>
      <c r="G192" t="s">
        <v>506</v>
      </c>
      <c r="H192" s="19">
        <v>500</v>
      </c>
      <c r="I192">
        <v>0.6</v>
      </c>
      <c r="J192" t="s">
        <v>207</v>
      </c>
    </row>
    <row r="193" spans="1:10" x14ac:dyDescent="0.2">
      <c r="A193" t="s">
        <v>88</v>
      </c>
      <c r="B193" t="s">
        <v>496</v>
      </c>
      <c r="C193">
        <v>263706440</v>
      </c>
      <c r="D193" t="s">
        <v>505</v>
      </c>
      <c r="E193">
        <v>158457055</v>
      </c>
      <c r="F193" t="s">
        <v>103</v>
      </c>
      <c r="G193" t="s">
        <v>517</v>
      </c>
      <c r="H193" s="19">
        <v>500</v>
      </c>
      <c r="I193">
        <v>0.6</v>
      </c>
      <c r="J193" t="s">
        <v>207</v>
      </c>
    </row>
    <row r="194" spans="1:10" x14ac:dyDescent="0.2">
      <c r="A194" t="s">
        <v>88</v>
      </c>
      <c r="B194" t="s">
        <v>496</v>
      </c>
      <c r="C194">
        <v>263706442</v>
      </c>
      <c r="D194" t="s">
        <v>505</v>
      </c>
      <c r="E194">
        <v>158457055</v>
      </c>
      <c r="F194" t="s">
        <v>171</v>
      </c>
      <c r="G194" t="s">
        <v>569</v>
      </c>
      <c r="H194" s="19">
        <v>500</v>
      </c>
      <c r="I194">
        <v>0.6</v>
      </c>
      <c r="J194" t="s">
        <v>207</v>
      </c>
    </row>
    <row r="195" spans="1:10" x14ac:dyDescent="0.2">
      <c r="A195" t="s">
        <v>88</v>
      </c>
      <c r="B195" t="s">
        <v>496</v>
      </c>
      <c r="C195">
        <v>263706443</v>
      </c>
      <c r="D195" t="s">
        <v>541</v>
      </c>
      <c r="E195">
        <v>158457056</v>
      </c>
      <c r="F195" t="s">
        <v>111</v>
      </c>
      <c r="G195" t="s">
        <v>542</v>
      </c>
      <c r="H195" s="19">
        <v>500</v>
      </c>
      <c r="I195">
        <v>0.76</v>
      </c>
      <c r="J195" t="s">
        <v>207</v>
      </c>
    </row>
    <row r="196" spans="1:10" x14ac:dyDescent="0.2">
      <c r="A196" t="s">
        <v>88</v>
      </c>
      <c r="B196" t="s">
        <v>496</v>
      </c>
      <c r="C196">
        <v>263706446</v>
      </c>
      <c r="D196" t="s">
        <v>543</v>
      </c>
      <c r="E196">
        <v>158457057</v>
      </c>
      <c r="F196" t="s">
        <v>111</v>
      </c>
      <c r="G196" t="s">
        <v>544</v>
      </c>
      <c r="H196" s="19">
        <v>500</v>
      </c>
      <c r="I196">
        <v>0.76</v>
      </c>
      <c r="J196" t="s">
        <v>207</v>
      </c>
    </row>
    <row r="197" spans="1:10" x14ac:dyDescent="0.2">
      <c r="A197" t="s">
        <v>88</v>
      </c>
      <c r="B197" t="s">
        <v>496</v>
      </c>
      <c r="C197">
        <v>263706450</v>
      </c>
      <c r="D197" t="s">
        <v>507</v>
      </c>
      <c r="E197">
        <v>158457058</v>
      </c>
      <c r="F197" t="s">
        <v>165</v>
      </c>
      <c r="G197" t="s">
        <v>508</v>
      </c>
      <c r="H197" s="19">
        <v>500</v>
      </c>
      <c r="I197">
        <v>0.6</v>
      </c>
      <c r="J197" t="s">
        <v>207</v>
      </c>
    </row>
    <row r="198" spans="1:10" x14ac:dyDescent="0.2">
      <c r="A198" t="s">
        <v>88</v>
      </c>
      <c r="B198" t="s">
        <v>496</v>
      </c>
      <c r="C198">
        <v>263706449</v>
      </c>
      <c r="D198" t="s">
        <v>507</v>
      </c>
      <c r="E198">
        <v>158457058</v>
      </c>
      <c r="F198" t="s">
        <v>103</v>
      </c>
      <c r="G198" t="s">
        <v>518</v>
      </c>
      <c r="H198" s="19">
        <v>500</v>
      </c>
      <c r="I198">
        <v>0.6</v>
      </c>
      <c r="J198" t="s">
        <v>207</v>
      </c>
    </row>
    <row r="199" spans="1:10" x14ac:dyDescent="0.2">
      <c r="A199" t="s">
        <v>88</v>
      </c>
      <c r="B199" t="s">
        <v>496</v>
      </c>
      <c r="C199">
        <v>263706451</v>
      </c>
      <c r="D199" t="s">
        <v>507</v>
      </c>
      <c r="E199">
        <v>158457058</v>
      </c>
      <c r="F199" t="s">
        <v>171</v>
      </c>
      <c r="G199" t="s">
        <v>570</v>
      </c>
      <c r="H199" s="19">
        <v>500</v>
      </c>
      <c r="I199">
        <v>0.6</v>
      </c>
      <c r="J199" t="s">
        <v>207</v>
      </c>
    </row>
    <row r="200" spans="1:10" x14ac:dyDescent="0.2">
      <c r="A200" t="s">
        <v>88</v>
      </c>
      <c r="B200" t="s">
        <v>496</v>
      </c>
      <c r="C200">
        <v>263706453</v>
      </c>
      <c r="D200" t="s">
        <v>509</v>
      </c>
      <c r="E200">
        <v>158457059</v>
      </c>
      <c r="F200" t="s">
        <v>165</v>
      </c>
      <c r="G200" t="s">
        <v>510</v>
      </c>
      <c r="H200" s="19">
        <v>500</v>
      </c>
      <c r="I200">
        <v>0.6</v>
      </c>
      <c r="J200" t="s">
        <v>207</v>
      </c>
    </row>
    <row r="201" spans="1:10" x14ac:dyDescent="0.2">
      <c r="A201" t="s">
        <v>88</v>
      </c>
      <c r="B201" t="s">
        <v>496</v>
      </c>
      <c r="C201">
        <v>263706452</v>
      </c>
      <c r="D201" t="s">
        <v>509</v>
      </c>
      <c r="E201">
        <v>158457059</v>
      </c>
      <c r="F201" t="s">
        <v>103</v>
      </c>
      <c r="G201" t="s">
        <v>519</v>
      </c>
      <c r="H201" s="19">
        <v>500</v>
      </c>
      <c r="I201">
        <v>0.6</v>
      </c>
      <c r="J201" t="s">
        <v>207</v>
      </c>
    </row>
    <row r="202" spans="1:10" x14ac:dyDescent="0.2">
      <c r="A202" t="s">
        <v>88</v>
      </c>
      <c r="B202" t="s">
        <v>496</v>
      </c>
      <c r="C202">
        <v>263706454</v>
      </c>
      <c r="D202" t="s">
        <v>509</v>
      </c>
      <c r="E202">
        <v>158457059</v>
      </c>
      <c r="F202" t="s">
        <v>171</v>
      </c>
      <c r="G202" t="s">
        <v>571</v>
      </c>
      <c r="H202" s="19">
        <v>500</v>
      </c>
      <c r="I202">
        <v>0.6</v>
      </c>
      <c r="J202" t="s">
        <v>207</v>
      </c>
    </row>
    <row r="203" spans="1:10" x14ac:dyDescent="0.2">
      <c r="A203" t="s">
        <v>88</v>
      </c>
      <c r="B203" t="s">
        <v>496</v>
      </c>
      <c r="C203">
        <v>263706455</v>
      </c>
      <c r="D203" t="s">
        <v>545</v>
      </c>
      <c r="E203">
        <v>158457060</v>
      </c>
      <c r="F203" t="s">
        <v>111</v>
      </c>
      <c r="G203" t="s">
        <v>546</v>
      </c>
      <c r="H203" s="19">
        <v>500</v>
      </c>
      <c r="I203">
        <v>0.76</v>
      </c>
      <c r="J203" t="s">
        <v>207</v>
      </c>
    </row>
    <row r="204" spans="1:10" x14ac:dyDescent="0.2">
      <c r="A204" t="s">
        <v>88</v>
      </c>
      <c r="B204" t="s">
        <v>496</v>
      </c>
      <c r="C204">
        <v>263706458</v>
      </c>
      <c r="D204" t="s">
        <v>547</v>
      </c>
      <c r="E204">
        <v>158457061</v>
      </c>
      <c r="F204" t="s">
        <v>111</v>
      </c>
      <c r="G204" t="s">
        <v>548</v>
      </c>
      <c r="H204" s="19">
        <v>500</v>
      </c>
      <c r="I204">
        <v>0.76</v>
      </c>
      <c r="J204" t="s">
        <v>207</v>
      </c>
    </row>
    <row r="205" spans="1:10" x14ac:dyDescent="0.2">
      <c r="A205" t="s">
        <v>88</v>
      </c>
      <c r="B205" t="s">
        <v>496</v>
      </c>
      <c r="C205">
        <v>263706462</v>
      </c>
      <c r="D205" t="s">
        <v>511</v>
      </c>
      <c r="E205">
        <v>158457062</v>
      </c>
      <c r="F205" t="s">
        <v>165</v>
      </c>
      <c r="G205" t="s">
        <v>512</v>
      </c>
      <c r="H205" s="19">
        <v>500</v>
      </c>
      <c r="I205">
        <v>0.6</v>
      </c>
      <c r="J205" t="s">
        <v>207</v>
      </c>
    </row>
    <row r="206" spans="1:10" x14ac:dyDescent="0.2">
      <c r="A206" t="s">
        <v>88</v>
      </c>
      <c r="B206" t="s">
        <v>496</v>
      </c>
      <c r="C206">
        <v>263706461</v>
      </c>
      <c r="D206" t="s">
        <v>511</v>
      </c>
      <c r="E206">
        <v>158457062</v>
      </c>
      <c r="F206" t="s">
        <v>103</v>
      </c>
      <c r="G206" t="s">
        <v>520</v>
      </c>
      <c r="H206" s="19">
        <v>500</v>
      </c>
      <c r="I206">
        <v>0.6</v>
      </c>
      <c r="J206" t="s">
        <v>207</v>
      </c>
    </row>
    <row r="207" spans="1:10" x14ac:dyDescent="0.2">
      <c r="A207" t="s">
        <v>88</v>
      </c>
      <c r="B207" t="s">
        <v>496</v>
      </c>
      <c r="C207">
        <v>263706463</v>
      </c>
      <c r="D207" t="s">
        <v>511</v>
      </c>
      <c r="E207">
        <v>158457062</v>
      </c>
      <c r="F207" t="s">
        <v>171</v>
      </c>
      <c r="G207" t="s">
        <v>572</v>
      </c>
      <c r="H207" s="19">
        <v>500</v>
      </c>
      <c r="I207">
        <v>0.6</v>
      </c>
      <c r="J207" t="s">
        <v>207</v>
      </c>
    </row>
    <row r="208" spans="1:10" x14ac:dyDescent="0.2">
      <c r="A208" t="s">
        <v>88</v>
      </c>
      <c r="B208" t="s">
        <v>496</v>
      </c>
      <c r="C208">
        <v>265494388</v>
      </c>
      <c r="D208" t="s">
        <v>557</v>
      </c>
      <c r="E208">
        <v>159644630</v>
      </c>
      <c r="F208" t="s">
        <v>111</v>
      </c>
      <c r="G208" t="s">
        <v>558</v>
      </c>
      <c r="H208" s="19">
        <v>500</v>
      </c>
      <c r="I208">
        <v>0.76</v>
      </c>
      <c r="J208" t="s">
        <v>207</v>
      </c>
    </row>
    <row r="209" spans="1:10" x14ac:dyDescent="0.2">
      <c r="A209" t="s">
        <v>88</v>
      </c>
      <c r="B209" t="s">
        <v>496</v>
      </c>
      <c r="C209">
        <v>265494387</v>
      </c>
      <c r="D209" t="s">
        <v>555</v>
      </c>
      <c r="E209">
        <v>159644629</v>
      </c>
      <c r="F209" t="s">
        <v>111</v>
      </c>
      <c r="G209" t="s">
        <v>556</v>
      </c>
      <c r="H209" s="19">
        <v>500</v>
      </c>
      <c r="I209">
        <v>0.76</v>
      </c>
      <c r="J209" t="s">
        <v>207</v>
      </c>
    </row>
    <row r="210" spans="1:10" x14ac:dyDescent="0.2">
      <c r="A210" t="s">
        <v>88</v>
      </c>
      <c r="B210" t="s">
        <v>496</v>
      </c>
      <c r="C210">
        <v>135008403</v>
      </c>
      <c r="D210" t="s">
        <v>533</v>
      </c>
      <c r="E210">
        <v>81774278</v>
      </c>
      <c r="F210" t="s">
        <v>111</v>
      </c>
      <c r="G210" t="s">
        <v>534</v>
      </c>
      <c r="H210" s="19">
        <v>200</v>
      </c>
      <c r="I210">
        <v>0</v>
      </c>
      <c r="J210" t="s">
        <v>207</v>
      </c>
    </row>
    <row r="211" spans="1:10" x14ac:dyDescent="0.2">
      <c r="A211" t="s">
        <v>88</v>
      </c>
      <c r="B211" t="s">
        <v>167</v>
      </c>
      <c r="C211">
        <v>235044537</v>
      </c>
      <c r="D211" t="s">
        <v>168</v>
      </c>
      <c r="E211">
        <v>138176806</v>
      </c>
      <c r="F211" t="s">
        <v>165</v>
      </c>
      <c r="G211" t="s">
        <v>573</v>
      </c>
      <c r="H211" s="19">
        <v>3200</v>
      </c>
      <c r="I211">
        <v>35.75</v>
      </c>
      <c r="J211" t="s">
        <v>574</v>
      </c>
    </row>
    <row r="212" spans="1:10" x14ac:dyDescent="0.2">
      <c r="A212" t="s">
        <v>88</v>
      </c>
      <c r="B212" t="s">
        <v>167</v>
      </c>
      <c r="C212">
        <v>235044881</v>
      </c>
      <c r="D212" t="s">
        <v>168</v>
      </c>
      <c r="E212">
        <v>138176806</v>
      </c>
      <c r="F212" t="s">
        <v>171</v>
      </c>
      <c r="G212" t="s">
        <v>172</v>
      </c>
      <c r="H212" s="19">
        <v>3200</v>
      </c>
      <c r="I212">
        <v>35.75</v>
      </c>
      <c r="J212" t="s">
        <v>574</v>
      </c>
    </row>
    <row r="213" spans="1:10" x14ac:dyDescent="0.2">
      <c r="A213" t="s">
        <v>88</v>
      </c>
      <c r="B213" t="s">
        <v>167</v>
      </c>
      <c r="C213">
        <v>235044882</v>
      </c>
      <c r="D213" t="s">
        <v>168</v>
      </c>
      <c r="E213">
        <v>138176806</v>
      </c>
      <c r="F213" t="s">
        <v>169</v>
      </c>
      <c r="G213" t="s">
        <v>170</v>
      </c>
      <c r="H213" s="19">
        <v>3200</v>
      </c>
      <c r="I213">
        <v>35.75</v>
      </c>
      <c r="J213" t="s">
        <v>574</v>
      </c>
    </row>
    <row r="214" spans="1:10" x14ac:dyDescent="0.2">
      <c r="A214" t="s">
        <v>88</v>
      </c>
      <c r="B214" t="s">
        <v>167</v>
      </c>
      <c r="C214">
        <v>235044883</v>
      </c>
      <c r="D214" t="s">
        <v>168</v>
      </c>
      <c r="E214">
        <v>138176806</v>
      </c>
      <c r="F214" t="s">
        <v>583</v>
      </c>
      <c r="G214" t="s">
        <v>584</v>
      </c>
      <c r="H214" s="19">
        <v>3200</v>
      </c>
      <c r="I214">
        <v>35.75</v>
      </c>
      <c r="J214" t="s">
        <v>574</v>
      </c>
    </row>
    <row r="215" spans="1:10" x14ac:dyDescent="0.2">
      <c r="A215" t="s">
        <v>88</v>
      </c>
      <c r="B215" t="s">
        <v>167</v>
      </c>
      <c r="C215">
        <v>235044884</v>
      </c>
      <c r="D215" t="s">
        <v>168</v>
      </c>
      <c r="E215">
        <v>138176806</v>
      </c>
      <c r="F215" t="s">
        <v>587</v>
      </c>
      <c r="G215" t="s">
        <v>588</v>
      </c>
      <c r="H215" s="19">
        <v>3200</v>
      </c>
      <c r="I215">
        <v>35.75</v>
      </c>
      <c r="J215" t="s">
        <v>574</v>
      </c>
    </row>
    <row r="216" spans="1:10" x14ac:dyDescent="0.2">
      <c r="A216" t="s">
        <v>88</v>
      </c>
      <c r="B216" t="s">
        <v>167</v>
      </c>
      <c r="C216">
        <v>235044539</v>
      </c>
      <c r="D216" t="s">
        <v>577</v>
      </c>
      <c r="E216">
        <v>138176808</v>
      </c>
      <c r="F216" t="s">
        <v>165</v>
      </c>
      <c r="G216" t="s">
        <v>578</v>
      </c>
      <c r="H216" s="19">
        <v>3200</v>
      </c>
      <c r="I216">
        <v>35.75</v>
      </c>
      <c r="J216" t="s">
        <v>574</v>
      </c>
    </row>
    <row r="217" spans="1:10" x14ac:dyDescent="0.2">
      <c r="A217" t="s">
        <v>88</v>
      </c>
      <c r="B217" t="s">
        <v>167</v>
      </c>
      <c r="C217">
        <v>235044879</v>
      </c>
      <c r="D217" t="s">
        <v>577</v>
      </c>
      <c r="E217">
        <v>138176808</v>
      </c>
      <c r="F217" t="s">
        <v>171</v>
      </c>
      <c r="G217" t="s">
        <v>580</v>
      </c>
      <c r="H217" s="19">
        <v>3200</v>
      </c>
      <c r="I217">
        <v>35.75</v>
      </c>
      <c r="J217" t="s">
        <v>574</v>
      </c>
    </row>
    <row r="218" spans="1:10" x14ac:dyDescent="0.2">
      <c r="A218" t="s">
        <v>88</v>
      </c>
      <c r="B218" t="s">
        <v>167</v>
      </c>
      <c r="C218">
        <v>235044880</v>
      </c>
      <c r="D218" t="s">
        <v>577</v>
      </c>
      <c r="E218">
        <v>138176808</v>
      </c>
      <c r="F218" t="s">
        <v>169</v>
      </c>
      <c r="G218" t="s">
        <v>582</v>
      </c>
      <c r="H218" s="19">
        <v>3200</v>
      </c>
      <c r="I218">
        <v>35.75</v>
      </c>
      <c r="J218" t="s">
        <v>574</v>
      </c>
    </row>
    <row r="219" spans="1:10" x14ac:dyDescent="0.2">
      <c r="A219" t="s">
        <v>88</v>
      </c>
      <c r="B219" t="s">
        <v>167</v>
      </c>
      <c r="C219">
        <v>235044885</v>
      </c>
      <c r="D219" t="s">
        <v>577</v>
      </c>
      <c r="E219">
        <v>138176808</v>
      </c>
      <c r="F219" t="s">
        <v>583</v>
      </c>
      <c r="G219" t="s">
        <v>586</v>
      </c>
      <c r="H219" s="19">
        <v>3200</v>
      </c>
      <c r="I219">
        <v>35.75</v>
      </c>
      <c r="J219" t="s">
        <v>574</v>
      </c>
    </row>
    <row r="220" spans="1:10" x14ac:dyDescent="0.2">
      <c r="A220" t="s">
        <v>88</v>
      </c>
      <c r="B220" t="s">
        <v>167</v>
      </c>
      <c r="C220">
        <v>235044887</v>
      </c>
      <c r="D220" t="s">
        <v>577</v>
      </c>
      <c r="E220">
        <v>138176808</v>
      </c>
      <c r="F220" t="s">
        <v>587</v>
      </c>
      <c r="G220" t="s">
        <v>590</v>
      </c>
      <c r="H220" s="19">
        <v>3200</v>
      </c>
      <c r="I220">
        <v>35.75</v>
      </c>
      <c r="J220" t="s">
        <v>574</v>
      </c>
    </row>
    <row r="221" spans="1:10" x14ac:dyDescent="0.2">
      <c r="A221" t="s">
        <v>88</v>
      </c>
      <c r="B221" t="s">
        <v>167</v>
      </c>
      <c r="C221">
        <v>235044538</v>
      </c>
      <c r="D221" t="s">
        <v>575</v>
      </c>
      <c r="E221">
        <v>138176807</v>
      </c>
      <c r="F221" t="s">
        <v>165</v>
      </c>
      <c r="G221" t="s">
        <v>576</v>
      </c>
      <c r="H221" s="19">
        <v>3200</v>
      </c>
      <c r="I221">
        <v>35.75</v>
      </c>
      <c r="J221" t="s">
        <v>574</v>
      </c>
    </row>
    <row r="222" spans="1:10" x14ac:dyDescent="0.2">
      <c r="A222" t="s">
        <v>88</v>
      </c>
      <c r="B222" t="s">
        <v>167</v>
      </c>
      <c r="C222">
        <v>235044886</v>
      </c>
      <c r="D222" t="s">
        <v>575</v>
      </c>
      <c r="E222">
        <v>138176807</v>
      </c>
      <c r="F222" t="s">
        <v>171</v>
      </c>
      <c r="G222" t="s">
        <v>579</v>
      </c>
      <c r="H222" s="19">
        <v>3200</v>
      </c>
      <c r="I222">
        <v>35.75</v>
      </c>
      <c r="J222" t="s">
        <v>574</v>
      </c>
    </row>
    <row r="223" spans="1:10" x14ac:dyDescent="0.2">
      <c r="A223" t="s">
        <v>88</v>
      </c>
      <c r="B223" t="s">
        <v>167</v>
      </c>
      <c r="C223">
        <v>235044888</v>
      </c>
      <c r="D223" t="s">
        <v>575</v>
      </c>
      <c r="E223">
        <v>138176807</v>
      </c>
      <c r="F223" t="s">
        <v>169</v>
      </c>
      <c r="G223" t="s">
        <v>581</v>
      </c>
      <c r="H223" s="19">
        <v>3200</v>
      </c>
      <c r="I223">
        <v>35.75</v>
      </c>
      <c r="J223" t="s">
        <v>574</v>
      </c>
    </row>
    <row r="224" spans="1:10" x14ac:dyDescent="0.2">
      <c r="A224" t="s">
        <v>88</v>
      </c>
      <c r="B224" t="s">
        <v>167</v>
      </c>
      <c r="C224">
        <v>235044889</v>
      </c>
      <c r="D224" t="s">
        <v>575</v>
      </c>
      <c r="E224">
        <v>138176807</v>
      </c>
      <c r="F224" t="s">
        <v>583</v>
      </c>
      <c r="G224" t="s">
        <v>585</v>
      </c>
      <c r="H224" s="19">
        <v>3200</v>
      </c>
      <c r="I224">
        <v>35.75</v>
      </c>
      <c r="J224" t="s">
        <v>574</v>
      </c>
    </row>
    <row r="225" spans="1:10" x14ac:dyDescent="0.2">
      <c r="A225" t="s">
        <v>88</v>
      </c>
      <c r="B225" t="s">
        <v>167</v>
      </c>
      <c r="C225">
        <v>235044890</v>
      </c>
      <c r="D225" t="s">
        <v>575</v>
      </c>
      <c r="E225">
        <v>138176807</v>
      </c>
      <c r="F225" t="s">
        <v>587</v>
      </c>
      <c r="G225" t="s">
        <v>589</v>
      </c>
      <c r="H225" s="19">
        <v>3200</v>
      </c>
      <c r="I225">
        <v>35.75</v>
      </c>
      <c r="J225" t="s">
        <v>574</v>
      </c>
    </row>
    <row r="226" spans="1:10" x14ac:dyDescent="0.2">
      <c r="A226" t="s">
        <v>88</v>
      </c>
      <c r="B226" t="s">
        <v>173</v>
      </c>
      <c r="C226">
        <v>128515615</v>
      </c>
      <c r="D226" t="s">
        <v>174</v>
      </c>
      <c r="E226">
        <v>76578514</v>
      </c>
      <c r="F226" t="s">
        <v>175</v>
      </c>
      <c r="G226" t="s">
        <v>176</v>
      </c>
      <c r="H226" s="19">
        <v>396</v>
      </c>
      <c r="I226">
        <v>1.2</v>
      </c>
      <c r="J226" t="s">
        <v>207</v>
      </c>
    </row>
    <row r="227" spans="1:10" x14ac:dyDescent="0.2">
      <c r="A227" t="s">
        <v>88</v>
      </c>
      <c r="B227" t="s">
        <v>173</v>
      </c>
      <c r="C227">
        <v>263306389</v>
      </c>
      <c r="D227" t="s">
        <v>177</v>
      </c>
      <c r="E227">
        <v>158219338</v>
      </c>
      <c r="F227" t="s">
        <v>175</v>
      </c>
      <c r="G227" t="s">
        <v>178</v>
      </c>
      <c r="H227" s="2">
        <v>441</v>
      </c>
      <c r="I227">
        <v>1.2</v>
      </c>
      <c r="J227" t="s">
        <v>207</v>
      </c>
    </row>
    <row r="228" spans="1:10" x14ac:dyDescent="0.2">
      <c r="A228" t="s">
        <v>88</v>
      </c>
      <c r="B228" t="s">
        <v>173</v>
      </c>
      <c r="C228">
        <v>128148213</v>
      </c>
      <c r="D228" t="s">
        <v>179</v>
      </c>
      <c r="E228">
        <v>76303876</v>
      </c>
      <c r="F228" t="s">
        <v>175</v>
      </c>
      <c r="G228" t="s">
        <v>180</v>
      </c>
      <c r="H228" s="19">
        <v>396</v>
      </c>
      <c r="I228">
        <v>1.2</v>
      </c>
      <c r="J228" t="s">
        <v>207</v>
      </c>
    </row>
    <row r="229" spans="1:10" x14ac:dyDescent="0.2">
      <c r="A229" t="s">
        <v>88</v>
      </c>
      <c r="B229" t="s">
        <v>173</v>
      </c>
      <c r="C229">
        <v>263306390</v>
      </c>
      <c r="D229" t="s">
        <v>181</v>
      </c>
      <c r="E229">
        <v>158219339</v>
      </c>
      <c r="F229" t="s">
        <v>175</v>
      </c>
      <c r="G229" t="s">
        <v>182</v>
      </c>
      <c r="H229" s="2">
        <v>441</v>
      </c>
      <c r="I229">
        <v>1.2</v>
      </c>
      <c r="J229" t="s">
        <v>207</v>
      </c>
    </row>
    <row r="230" spans="1:10" x14ac:dyDescent="0.2">
      <c r="A230" t="s">
        <v>88</v>
      </c>
      <c r="B230" t="s">
        <v>173</v>
      </c>
      <c r="C230">
        <v>128515616</v>
      </c>
      <c r="D230" t="s">
        <v>183</v>
      </c>
      <c r="E230">
        <v>76578515</v>
      </c>
      <c r="F230" t="s">
        <v>175</v>
      </c>
      <c r="G230" t="s">
        <v>184</v>
      </c>
      <c r="H230" s="19">
        <v>396</v>
      </c>
      <c r="I230">
        <v>1.2</v>
      </c>
      <c r="J230" t="s">
        <v>207</v>
      </c>
    </row>
    <row r="231" spans="1:10" x14ac:dyDescent="0.2">
      <c r="A231" t="s">
        <v>88</v>
      </c>
      <c r="B231" t="s">
        <v>173</v>
      </c>
      <c r="C231">
        <v>263306388</v>
      </c>
      <c r="D231" t="s">
        <v>185</v>
      </c>
      <c r="E231">
        <v>158219337</v>
      </c>
      <c r="F231" t="s">
        <v>175</v>
      </c>
      <c r="G231" t="s">
        <v>186</v>
      </c>
      <c r="H231" s="2">
        <v>441</v>
      </c>
      <c r="I231">
        <v>1.2</v>
      </c>
      <c r="J231" t="s">
        <v>207</v>
      </c>
    </row>
    <row r="232" spans="1:10" x14ac:dyDescent="0.2">
      <c r="A232" t="s">
        <v>88</v>
      </c>
      <c r="B232" t="s">
        <v>173</v>
      </c>
      <c r="C232">
        <v>128515617</v>
      </c>
      <c r="D232" t="s">
        <v>187</v>
      </c>
      <c r="E232">
        <v>76578516</v>
      </c>
      <c r="F232" t="s">
        <v>175</v>
      </c>
      <c r="G232" t="s">
        <v>188</v>
      </c>
      <c r="H232" s="19">
        <v>396</v>
      </c>
      <c r="I232">
        <v>1.2</v>
      </c>
      <c r="J232" t="s">
        <v>207</v>
      </c>
    </row>
    <row r="233" spans="1:10" x14ac:dyDescent="0.2">
      <c r="A233" t="s">
        <v>88</v>
      </c>
      <c r="B233" t="s">
        <v>173</v>
      </c>
      <c r="C233">
        <v>263306387</v>
      </c>
      <c r="D233" t="s">
        <v>189</v>
      </c>
      <c r="E233">
        <v>158219336</v>
      </c>
      <c r="F233" t="s">
        <v>175</v>
      </c>
      <c r="G233" t="s">
        <v>190</v>
      </c>
      <c r="H233" s="2">
        <v>441</v>
      </c>
      <c r="I233">
        <v>1.2</v>
      </c>
      <c r="J233" t="s">
        <v>207</v>
      </c>
    </row>
    <row r="234" spans="1:10" x14ac:dyDescent="0.2">
      <c r="A234" t="s">
        <v>88</v>
      </c>
      <c r="B234" t="s">
        <v>173</v>
      </c>
      <c r="C234">
        <v>128515618</v>
      </c>
      <c r="D234" t="s">
        <v>191</v>
      </c>
      <c r="E234">
        <v>76578517</v>
      </c>
      <c r="F234" t="s">
        <v>175</v>
      </c>
      <c r="G234" t="s">
        <v>192</v>
      </c>
      <c r="H234" s="19">
        <v>396</v>
      </c>
      <c r="I234">
        <v>1.2</v>
      </c>
      <c r="J234" t="s">
        <v>207</v>
      </c>
    </row>
    <row r="235" spans="1:10" x14ac:dyDescent="0.2">
      <c r="A235" t="s">
        <v>88</v>
      </c>
      <c r="B235" t="s">
        <v>173</v>
      </c>
      <c r="C235">
        <v>128520497</v>
      </c>
      <c r="D235" t="s">
        <v>591</v>
      </c>
      <c r="E235">
        <v>76582248</v>
      </c>
      <c r="F235" t="s">
        <v>175</v>
      </c>
      <c r="G235" t="s">
        <v>592</v>
      </c>
      <c r="H235" s="19">
        <v>500</v>
      </c>
      <c r="I235">
        <v>0</v>
      </c>
      <c r="J235" t="s">
        <v>330</v>
      </c>
    </row>
    <row r="236" spans="1:10" x14ac:dyDescent="0.2">
      <c r="A236" t="s">
        <v>88</v>
      </c>
      <c r="B236" t="s">
        <v>173</v>
      </c>
      <c r="C236">
        <v>148623267</v>
      </c>
      <c r="D236" t="s">
        <v>595</v>
      </c>
      <c r="E236">
        <v>92634095</v>
      </c>
      <c r="F236" t="s">
        <v>596</v>
      </c>
      <c r="G236" t="s">
        <v>597</v>
      </c>
      <c r="H236" s="19">
        <v>425</v>
      </c>
      <c r="I236">
        <v>0</v>
      </c>
      <c r="J236" t="s">
        <v>207</v>
      </c>
    </row>
    <row r="237" spans="1:10" x14ac:dyDescent="0.2">
      <c r="A237" t="s">
        <v>88</v>
      </c>
      <c r="B237" t="s">
        <v>173</v>
      </c>
      <c r="C237">
        <v>147522417</v>
      </c>
      <c r="D237" t="s">
        <v>593</v>
      </c>
      <c r="E237">
        <v>91804221</v>
      </c>
      <c r="F237" t="s">
        <v>175</v>
      </c>
      <c r="G237" t="s">
        <v>594</v>
      </c>
      <c r="H237" s="19">
        <v>425</v>
      </c>
      <c r="I237">
        <v>1.2</v>
      </c>
      <c r="J237" t="s">
        <v>207</v>
      </c>
    </row>
    <row r="238" spans="1:10" x14ac:dyDescent="0.2">
      <c r="A238" t="s">
        <v>88</v>
      </c>
      <c r="B238" t="s">
        <v>173</v>
      </c>
      <c r="C238">
        <v>148486071</v>
      </c>
      <c r="D238" t="s">
        <v>593</v>
      </c>
      <c r="E238">
        <v>91804221</v>
      </c>
      <c r="F238" t="s">
        <v>598</v>
      </c>
      <c r="G238" t="s">
        <v>599</v>
      </c>
      <c r="H238" s="19">
        <v>425</v>
      </c>
      <c r="I238">
        <v>1.2</v>
      </c>
      <c r="J238" t="s">
        <v>207</v>
      </c>
    </row>
    <row r="239" spans="1:10" x14ac:dyDescent="0.2">
      <c r="A239" t="s">
        <v>88</v>
      </c>
      <c r="B239" t="s">
        <v>484</v>
      </c>
      <c r="C239">
        <v>270319254</v>
      </c>
      <c r="D239" t="s">
        <v>610</v>
      </c>
      <c r="E239">
        <v>162683874</v>
      </c>
      <c r="F239" t="s">
        <v>611</v>
      </c>
      <c r="G239" t="s">
        <v>612</v>
      </c>
      <c r="H239" s="19">
        <v>320</v>
      </c>
      <c r="I239">
        <v>0.88</v>
      </c>
      <c r="J239" t="s">
        <v>613</v>
      </c>
    </row>
    <row r="240" spans="1:10" x14ac:dyDescent="0.2">
      <c r="A240" t="s">
        <v>88</v>
      </c>
      <c r="B240" t="s">
        <v>484</v>
      </c>
      <c r="C240">
        <v>270319244</v>
      </c>
      <c r="D240" t="s">
        <v>614</v>
      </c>
      <c r="E240">
        <v>162683864</v>
      </c>
      <c r="F240" t="s">
        <v>611</v>
      </c>
      <c r="G240" t="s">
        <v>615</v>
      </c>
      <c r="H240" s="19">
        <v>320</v>
      </c>
      <c r="I240">
        <v>0.88</v>
      </c>
      <c r="J240" t="s">
        <v>613</v>
      </c>
    </row>
    <row r="241" spans="1:10" x14ac:dyDescent="0.2">
      <c r="A241" t="s">
        <v>88</v>
      </c>
      <c r="B241" t="s">
        <v>484</v>
      </c>
      <c r="C241">
        <v>270319248</v>
      </c>
      <c r="D241" t="s">
        <v>616</v>
      </c>
      <c r="E241">
        <v>162683868</v>
      </c>
      <c r="F241" t="s">
        <v>611</v>
      </c>
      <c r="G241" t="s">
        <v>617</v>
      </c>
      <c r="H241" s="19">
        <v>320</v>
      </c>
      <c r="I241">
        <v>0.88</v>
      </c>
      <c r="J241" t="s">
        <v>613</v>
      </c>
    </row>
    <row r="242" spans="1:10" x14ac:dyDescent="0.2">
      <c r="A242" t="s">
        <v>88</v>
      </c>
      <c r="B242" t="s">
        <v>484</v>
      </c>
      <c r="C242">
        <v>270319252</v>
      </c>
      <c r="D242" t="s">
        <v>618</v>
      </c>
      <c r="E242">
        <v>162683872</v>
      </c>
      <c r="F242" t="s">
        <v>611</v>
      </c>
      <c r="G242" t="s">
        <v>619</v>
      </c>
      <c r="H242" s="19">
        <v>320</v>
      </c>
      <c r="I242">
        <v>0.88</v>
      </c>
      <c r="J242" t="s">
        <v>613</v>
      </c>
    </row>
    <row r="243" spans="1:10" x14ac:dyDescent="0.2">
      <c r="A243" t="s">
        <v>88</v>
      </c>
      <c r="B243" t="s">
        <v>484</v>
      </c>
      <c r="C243">
        <v>270319251</v>
      </c>
      <c r="D243" t="s">
        <v>620</v>
      </c>
      <c r="E243">
        <v>162683871</v>
      </c>
      <c r="F243" t="s">
        <v>611</v>
      </c>
      <c r="G243" t="s">
        <v>621</v>
      </c>
      <c r="H243" s="19">
        <v>320</v>
      </c>
      <c r="I243">
        <v>0.88</v>
      </c>
      <c r="J243" t="s">
        <v>613</v>
      </c>
    </row>
    <row r="244" spans="1:10" x14ac:dyDescent="0.2">
      <c r="A244" t="s">
        <v>88</v>
      </c>
      <c r="B244" t="s">
        <v>484</v>
      </c>
      <c r="C244">
        <v>270319241</v>
      </c>
      <c r="D244" t="s">
        <v>622</v>
      </c>
      <c r="E244">
        <v>162683861</v>
      </c>
      <c r="F244" t="s">
        <v>611</v>
      </c>
      <c r="G244" t="s">
        <v>623</v>
      </c>
      <c r="H244" s="19">
        <v>320</v>
      </c>
      <c r="I244">
        <v>0.88</v>
      </c>
      <c r="J244" t="s">
        <v>613</v>
      </c>
    </row>
    <row r="245" spans="1:10" x14ac:dyDescent="0.2">
      <c r="A245" t="s">
        <v>88</v>
      </c>
      <c r="B245" t="s">
        <v>484</v>
      </c>
      <c r="C245">
        <v>270319247</v>
      </c>
      <c r="D245" t="s">
        <v>624</v>
      </c>
      <c r="E245">
        <v>162683867</v>
      </c>
      <c r="F245" t="s">
        <v>611</v>
      </c>
      <c r="G245" t="s">
        <v>625</v>
      </c>
      <c r="H245" s="19">
        <v>320</v>
      </c>
      <c r="I245">
        <v>0.88</v>
      </c>
      <c r="J245" t="s">
        <v>613</v>
      </c>
    </row>
    <row r="246" spans="1:10" x14ac:dyDescent="0.2">
      <c r="A246" t="s">
        <v>88</v>
      </c>
      <c r="B246" t="s">
        <v>484</v>
      </c>
      <c r="C246">
        <v>270319253</v>
      </c>
      <c r="D246" t="s">
        <v>626</v>
      </c>
      <c r="E246">
        <v>162683873</v>
      </c>
      <c r="F246" t="s">
        <v>611</v>
      </c>
      <c r="G246" t="s">
        <v>627</v>
      </c>
      <c r="H246" s="19">
        <v>320</v>
      </c>
      <c r="I246">
        <v>0.88</v>
      </c>
      <c r="J246" t="s">
        <v>613</v>
      </c>
    </row>
    <row r="247" spans="1:10" x14ac:dyDescent="0.2">
      <c r="A247" t="s">
        <v>88</v>
      </c>
      <c r="B247" t="s">
        <v>484</v>
      </c>
      <c r="C247">
        <v>270319245</v>
      </c>
      <c r="D247" t="s">
        <v>628</v>
      </c>
      <c r="E247">
        <v>162683865</v>
      </c>
      <c r="F247" t="s">
        <v>611</v>
      </c>
      <c r="G247" t="s">
        <v>629</v>
      </c>
      <c r="H247" s="19">
        <v>320</v>
      </c>
      <c r="I247">
        <v>0.88</v>
      </c>
      <c r="J247" t="s">
        <v>613</v>
      </c>
    </row>
    <row r="248" spans="1:10" x14ac:dyDescent="0.2">
      <c r="A248" t="s">
        <v>88</v>
      </c>
      <c r="B248" t="s">
        <v>484</v>
      </c>
      <c r="C248">
        <v>270319243</v>
      </c>
      <c r="D248" t="s">
        <v>630</v>
      </c>
      <c r="E248">
        <v>162683863</v>
      </c>
      <c r="F248" t="s">
        <v>611</v>
      </c>
      <c r="G248" t="s">
        <v>631</v>
      </c>
      <c r="H248" s="19">
        <v>320</v>
      </c>
      <c r="I248">
        <v>0.88</v>
      </c>
      <c r="J248" t="s">
        <v>613</v>
      </c>
    </row>
    <row r="249" spans="1:10" x14ac:dyDescent="0.2">
      <c r="A249" t="s">
        <v>88</v>
      </c>
      <c r="B249" t="s">
        <v>484</v>
      </c>
      <c r="C249">
        <v>270319250</v>
      </c>
      <c r="D249" t="s">
        <v>632</v>
      </c>
      <c r="E249">
        <v>162683870</v>
      </c>
      <c r="F249" t="s">
        <v>611</v>
      </c>
      <c r="G249" t="s">
        <v>633</v>
      </c>
      <c r="H249" s="19">
        <v>320</v>
      </c>
      <c r="I249">
        <v>0.88</v>
      </c>
      <c r="J249" t="s">
        <v>613</v>
      </c>
    </row>
    <row r="250" spans="1:10" x14ac:dyDescent="0.2">
      <c r="A250" t="s">
        <v>88</v>
      </c>
      <c r="B250" t="s">
        <v>484</v>
      </c>
      <c r="C250">
        <v>270319246</v>
      </c>
      <c r="D250" t="s">
        <v>634</v>
      </c>
      <c r="E250">
        <v>162683866</v>
      </c>
      <c r="F250" t="s">
        <v>611</v>
      </c>
      <c r="G250" t="s">
        <v>635</v>
      </c>
      <c r="H250" s="19">
        <v>320</v>
      </c>
      <c r="I250">
        <v>0.88</v>
      </c>
      <c r="J250" t="s">
        <v>613</v>
      </c>
    </row>
    <row r="251" spans="1:10" x14ac:dyDescent="0.2">
      <c r="A251" t="s">
        <v>88</v>
      </c>
      <c r="B251" t="s">
        <v>484</v>
      </c>
      <c r="C251">
        <v>270319242</v>
      </c>
      <c r="D251" t="s">
        <v>636</v>
      </c>
      <c r="E251">
        <v>162683862</v>
      </c>
      <c r="F251" t="s">
        <v>611</v>
      </c>
      <c r="G251" t="s">
        <v>637</v>
      </c>
      <c r="H251" s="19">
        <v>320</v>
      </c>
      <c r="I251">
        <v>0.88</v>
      </c>
      <c r="J251" t="s">
        <v>613</v>
      </c>
    </row>
    <row r="252" spans="1:10" x14ac:dyDescent="0.2">
      <c r="A252" t="s">
        <v>88</v>
      </c>
      <c r="B252" t="s">
        <v>484</v>
      </c>
      <c r="C252">
        <v>270319249</v>
      </c>
      <c r="D252" t="s">
        <v>638</v>
      </c>
      <c r="E252">
        <v>162683869</v>
      </c>
      <c r="F252" t="s">
        <v>611</v>
      </c>
      <c r="G252" t="s">
        <v>639</v>
      </c>
      <c r="H252" s="19">
        <v>320</v>
      </c>
      <c r="I252">
        <v>0.88</v>
      </c>
      <c r="J252" t="s">
        <v>613</v>
      </c>
    </row>
    <row r="253" spans="1:10" x14ac:dyDescent="0.2">
      <c r="A253" t="s">
        <v>88</v>
      </c>
      <c r="B253" t="s">
        <v>484</v>
      </c>
      <c r="C253">
        <v>270319240</v>
      </c>
      <c r="D253" t="s">
        <v>640</v>
      </c>
      <c r="E253">
        <v>162683860</v>
      </c>
      <c r="F253" t="s">
        <v>611</v>
      </c>
      <c r="G253" t="s">
        <v>641</v>
      </c>
      <c r="H253" s="19">
        <v>320</v>
      </c>
      <c r="I253">
        <v>0.88</v>
      </c>
      <c r="J253" t="s">
        <v>613</v>
      </c>
    </row>
    <row r="254" spans="1:10" x14ac:dyDescent="0.2">
      <c r="A254" t="s">
        <v>88</v>
      </c>
      <c r="B254" t="s">
        <v>318</v>
      </c>
      <c r="C254">
        <v>271926325</v>
      </c>
      <c r="D254" t="s">
        <v>642</v>
      </c>
      <c r="E254">
        <v>163118602</v>
      </c>
      <c r="F254" t="s">
        <v>643</v>
      </c>
      <c r="G254" t="s">
        <v>644</v>
      </c>
      <c r="H254" s="19">
        <v>500</v>
      </c>
      <c r="I254">
        <v>0.75</v>
      </c>
      <c r="J254" t="s">
        <v>645</v>
      </c>
    </row>
    <row r="255" spans="1:10" x14ac:dyDescent="0.2">
      <c r="A255" t="s">
        <v>88</v>
      </c>
      <c r="B255" t="s">
        <v>318</v>
      </c>
      <c r="C255">
        <v>271926326</v>
      </c>
      <c r="D255" t="s">
        <v>646</v>
      </c>
      <c r="E255">
        <v>163118603</v>
      </c>
      <c r="F255" t="s">
        <v>643</v>
      </c>
      <c r="G255" t="s">
        <v>647</v>
      </c>
      <c r="H255" s="19">
        <v>500</v>
      </c>
      <c r="I255">
        <v>0.75</v>
      </c>
      <c r="J255" t="s">
        <v>645</v>
      </c>
    </row>
    <row r="256" spans="1:10" x14ac:dyDescent="0.2">
      <c r="A256" t="s">
        <v>88</v>
      </c>
      <c r="B256" t="s">
        <v>318</v>
      </c>
      <c r="C256">
        <v>271926324</v>
      </c>
      <c r="D256" t="s">
        <v>648</v>
      </c>
      <c r="E256">
        <v>163118601</v>
      </c>
      <c r="F256" t="s">
        <v>643</v>
      </c>
      <c r="G256" t="s">
        <v>649</v>
      </c>
      <c r="H256" s="19">
        <v>500</v>
      </c>
      <c r="I256">
        <v>0.75</v>
      </c>
      <c r="J256" t="s">
        <v>645</v>
      </c>
    </row>
    <row r="257" spans="1:10" x14ac:dyDescent="0.2">
      <c r="A257" t="s">
        <v>88</v>
      </c>
      <c r="B257" t="s">
        <v>318</v>
      </c>
      <c r="C257">
        <v>271926323</v>
      </c>
      <c r="D257" t="s">
        <v>650</v>
      </c>
      <c r="E257">
        <v>163118600</v>
      </c>
      <c r="F257" t="s">
        <v>643</v>
      </c>
      <c r="G257" t="s">
        <v>651</v>
      </c>
      <c r="H257" s="19">
        <v>500</v>
      </c>
      <c r="I257">
        <v>0.75</v>
      </c>
      <c r="J257" t="s">
        <v>645</v>
      </c>
    </row>
    <row r="258" spans="1:10" x14ac:dyDescent="0.2">
      <c r="A258" t="s">
        <v>88</v>
      </c>
      <c r="B258" t="s">
        <v>376</v>
      </c>
      <c r="C258">
        <v>268179278</v>
      </c>
      <c r="D258" t="s">
        <v>604</v>
      </c>
      <c r="E258">
        <v>161420923</v>
      </c>
      <c r="F258" t="s">
        <v>111</v>
      </c>
      <c r="G258" t="s">
        <v>605</v>
      </c>
      <c r="H258" s="19">
        <v>760</v>
      </c>
      <c r="I258">
        <v>0.88</v>
      </c>
      <c r="J258" t="s">
        <v>613</v>
      </c>
    </row>
    <row r="259" spans="1:10" x14ac:dyDescent="0.2">
      <c r="A259" t="s">
        <v>88</v>
      </c>
      <c r="B259" t="s">
        <v>376</v>
      </c>
      <c r="C259">
        <v>268179277</v>
      </c>
      <c r="D259" t="s">
        <v>608</v>
      </c>
      <c r="E259">
        <v>161420922</v>
      </c>
      <c r="F259" t="s">
        <v>111</v>
      </c>
      <c r="G259" t="s">
        <v>609</v>
      </c>
      <c r="H259" s="19">
        <v>760</v>
      </c>
      <c r="I259">
        <v>0.88</v>
      </c>
      <c r="J259" t="s">
        <v>613</v>
      </c>
    </row>
    <row r="260" spans="1:10" x14ac:dyDescent="0.2">
      <c r="A260" t="s">
        <v>88</v>
      </c>
      <c r="B260" t="s">
        <v>376</v>
      </c>
      <c r="C260">
        <v>268179275</v>
      </c>
      <c r="D260" t="s">
        <v>606</v>
      </c>
      <c r="E260">
        <v>161420920</v>
      </c>
      <c r="F260" t="s">
        <v>111</v>
      </c>
      <c r="G260" t="s">
        <v>607</v>
      </c>
      <c r="H260" s="19">
        <v>760</v>
      </c>
      <c r="I260">
        <v>0.88</v>
      </c>
      <c r="J260" t="s">
        <v>613</v>
      </c>
    </row>
    <row r="261" spans="1:10" x14ac:dyDescent="0.2">
      <c r="A261" t="s">
        <v>88</v>
      </c>
      <c r="B261" t="s">
        <v>376</v>
      </c>
      <c r="C261">
        <v>268179276</v>
      </c>
      <c r="D261" t="s">
        <v>602</v>
      </c>
      <c r="E261">
        <v>161420921</v>
      </c>
      <c r="F261" t="s">
        <v>111</v>
      </c>
      <c r="G261" t="s">
        <v>603</v>
      </c>
      <c r="H261" s="19">
        <v>760</v>
      </c>
      <c r="I261">
        <v>0.88</v>
      </c>
      <c r="J261" t="s">
        <v>613</v>
      </c>
    </row>
    <row r="262" spans="1:10" x14ac:dyDescent="0.2">
      <c r="A262" t="s">
        <v>88</v>
      </c>
      <c r="B262" t="s">
        <v>142</v>
      </c>
      <c r="C262">
        <v>157847725</v>
      </c>
      <c r="D262" t="s">
        <v>143</v>
      </c>
      <c r="E262">
        <v>100114677</v>
      </c>
      <c r="F262" t="s">
        <v>652</v>
      </c>
      <c r="G262" t="s">
        <v>145</v>
      </c>
      <c r="H262" s="19">
        <v>2160</v>
      </c>
    </row>
    <row r="263" spans="1:10" x14ac:dyDescent="0.2">
      <c r="A263" t="s">
        <v>88</v>
      </c>
      <c r="B263" t="s">
        <v>142</v>
      </c>
      <c r="C263">
        <v>157847726</v>
      </c>
      <c r="D263" t="s">
        <v>143</v>
      </c>
      <c r="E263">
        <v>100114677</v>
      </c>
      <c r="F263" t="s">
        <v>653</v>
      </c>
      <c r="G263" t="s">
        <v>144</v>
      </c>
      <c r="H263" s="19">
        <v>2160</v>
      </c>
    </row>
    <row r="264" spans="1:10" x14ac:dyDescent="0.2">
      <c r="A264" t="s">
        <v>88</v>
      </c>
      <c r="B264" t="s">
        <v>142</v>
      </c>
      <c r="C264">
        <v>283940625</v>
      </c>
      <c r="D264" t="s">
        <v>143</v>
      </c>
      <c r="E264">
        <v>100114677</v>
      </c>
      <c r="F264" t="s">
        <v>654</v>
      </c>
      <c r="G264" t="s">
        <v>655</v>
      </c>
      <c r="H264" s="19">
        <v>2160</v>
      </c>
    </row>
    <row r="265" spans="1:10" x14ac:dyDescent="0.2">
      <c r="A265" t="s">
        <v>88</v>
      </c>
      <c r="B265" t="s">
        <v>142</v>
      </c>
      <c r="C265">
        <v>283940626</v>
      </c>
      <c r="D265" t="s">
        <v>143</v>
      </c>
      <c r="E265">
        <v>100114677</v>
      </c>
      <c r="F265" t="s">
        <v>656</v>
      </c>
      <c r="G265" t="s">
        <v>657</v>
      </c>
      <c r="H265" s="19">
        <v>2160</v>
      </c>
    </row>
    <row r="266" spans="1:10" x14ac:dyDescent="0.2">
      <c r="A266" t="s">
        <v>88</v>
      </c>
      <c r="B266" t="s">
        <v>142</v>
      </c>
      <c r="C266">
        <v>159768467</v>
      </c>
      <c r="D266" t="s">
        <v>146</v>
      </c>
      <c r="E266">
        <v>101559685</v>
      </c>
      <c r="F266" t="s">
        <v>652</v>
      </c>
      <c r="G266" t="s">
        <v>148</v>
      </c>
      <c r="H266" s="19">
        <v>2160</v>
      </c>
    </row>
    <row r="267" spans="1:10" x14ac:dyDescent="0.2">
      <c r="A267" t="s">
        <v>88</v>
      </c>
      <c r="B267" t="s">
        <v>142</v>
      </c>
      <c r="C267">
        <v>159768468</v>
      </c>
      <c r="D267" t="s">
        <v>146</v>
      </c>
      <c r="E267">
        <v>101559685</v>
      </c>
      <c r="F267" t="s">
        <v>653</v>
      </c>
      <c r="G267" t="s">
        <v>147</v>
      </c>
      <c r="H267" s="19">
        <v>2160</v>
      </c>
    </row>
    <row r="268" spans="1:10" x14ac:dyDescent="0.2">
      <c r="A268" t="s">
        <v>88</v>
      </c>
      <c r="B268" t="s">
        <v>142</v>
      </c>
      <c r="C268">
        <v>283940622</v>
      </c>
      <c r="D268" t="s">
        <v>146</v>
      </c>
      <c r="E268">
        <v>101559685</v>
      </c>
      <c r="F268" t="s">
        <v>654</v>
      </c>
      <c r="G268" t="s">
        <v>658</v>
      </c>
      <c r="H268" s="19">
        <v>2160</v>
      </c>
    </row>
    <row r="269" spans="1:10" x14ac:dyDescent="0.2">
      <c r="A269" t="s">
        <v>88</v>
      </c>
      <c r="B269" t="s">
        <v>142</v>
      </c>
      <c r="C269">
        <v>283940623</v>
      </c>
      <c r="D269" t="s">
        <v>146</v>
      </c>
      <c r="E269">
        <v>101559685</v>
      </c>
      <c r="F269" t="s">
        <v>656</v>
      </c>
      <c r="G269" t="s">
        <v>659</v>
      </c>
      <c r="H269" s="19">
        <v>2160</v>
      </c>
    </row>
    <row r="270" spans="1:10" x14ac:dyDescent="0.2">
      <c r="A270" t="s">
        <v>88</v>
      </c>
      <c r="B270" t="s">
        <v>142</v>
      </c>
      <c r="C270">
        <v>159768354</v>
      </c>
      <c r="D270" t="s">
        <v>149</v>
      </c>
      <c r="E270">
        <v>101559602</v>
      </c>
      <c r="F270" t="s">
        <v>652</v>
      </c>
      <c r="G270" t="s">
        <v>151</v>
      </c>
      <c r="H270" s="19">
        <v>2160</v>
      </c>
    </row>
    <row r="271" spans="1:10" x14ac:dyDescent="0.2">
      <c r="A271" t="s">
        <v>88</v>
      </c>
      <c r="B271" t="s">
        <v>142</v>
      </c>
      <c r="C271">
        <v>159768355</v>
      </c>
      <c r="D271" t="s">
        <v>149</v>
      </c>
      <c r="E271">
        <v>101559602</v>
      </c>
      <c r="F271" t="s">
        <v>653</v>
      </c>
      <c r="G271" t="s">
        <v>150</v>
      </c>
      <c r="H271" s="19">
        <v>2160</v>
      </c>
    </row>
    <row r="272" spans="1:10" x14ac:dyDescent="0.2">
      <c r="A272" t="s">
        <v>88</v>
      </c>
      <c r="B272" t="s">
        <v>142</v>
      </c>
      <c r="C272">
        <v>283940613</v>
      </c>
      <c r="D272" t="s">
        <v>149</v>
      </c>
      <c r="E272">
        <v>101559602</v>
      </c>
      <c r="F272" t="s">
        <v>654</v>
      </c>
      <c r="G272" t="s">
        <v>660</v>
      </c>
      <c r="H272" s="19">
        <v>2160</v>
      </c>
    </row>
    <row r="273" spans="1:8" x14ac:dyDescent="0.2">
      <c r="A273" t="s">
        <v>88</v>
      </c>
      <c r="B273" t="s">
        <v>142</v>
      </c>
      <c r="C273">
        <v>283940614</v>
      </c>
      <c r="D273" t="s">
        <v>149</v>
      </c>
      <c r="E273">
        <v>101559602</v>
      </c>
      <c r="F273" t="s">
        <v>656</v>
      </c>
      <c r="G273" t="s">
        <v>661</v>
      </c>
      <c r="H273" s="19">
        <v>2160</v>
      </c>
    </row>
    <row r="274" spans="1:8" x14ac:dyDescent="0.2">
      <c r="A274" t="s">
        <v>88</v>
      </c>
      <c r="B274" t="s">
        <v>142</v>
      </c>
      <c r="C274">
        <v>157573580</v>
      </c>
      <c r="D274" t="s">
        <v>152</v>
      </c>
      <c r="E274">
        <v>99909078</v>
      </c>
      <c r="F274" t="s">
        <v>652</v>
      </c>
      <c r="G274" t="s">
        <v>154</v>
      </c>
      <c r="H274" s="19">
        <v>2160</v>
      </c>
    </row>
    <row r="275" spans="1:8" x14ac:dyDescent="0.2">
      <c r="A275" t="s">
        <v>88</v>
      </c>
      <c r="B275" t="s">
        <v>142</v>
      </c>
      <c r="C275">
        <v>157573581</v>
      </c>
      <c r="D275" t="s">
        <v>152</v>
      </c>
      <c r="E275">
        <v>99909078</v>
      </c>
      <c r="F275" t="s">
        <v>653</v>
      </c>
      <c r="G275" t="s">
        <v>153</v>
      </c>
      <c r="H275" s="19">
        <v>2160</v>
      </c>
    </row>
    <row r="276" spans="1:8" x14ac:dyDescent="0.2">
      <c r="A276" t="s">
        <v>88</v>
      </c>
      <c r="B276" t="s">
        <v>142</v>
      </c>
      <c r="C276">
        <v>283940605</v>
      </c>
      <c r="D276" t="s">
        <v>152</v>
      </c>
      <c r="E276">
        <v>99909078</v>
      </c>
      <c r="F276" t="s">
        <v>654</v>
      </c>
      <c r="G276" t="s">
        <v>662</v>
      </c>
      <c r="H276" s="19">
        <v>2160</v>
      </c>
    </row>
    <row r="277" spans="1:8" x14ac:dyDescent="0.2">
      <c r="A277" t="s">
        <v>88</v>
      </c>
      <c r="B277" t="s">
        <v>142</v>
      </c>
      <c r="C277">
        <v>283940606</v>
      </c>
      <c r="D277" t="s">
        <v>152</v>
      </c>
      <c r="E277">
        <v>99909078</v>
      </c>
      <c r="F277" t="s">
        <v>656</v>
      </c>
      <c r="G277" t="s">
        <v>663</v>
      </c>
      <c r="H277" s="19">
        <v>2160</v>
      </c>
    </row>
    <row r="278" spans="1:8" x14ac:dyDescent="0.2">
      <c r="A278" t="s">
        <v>88</v>
      </c>
      <c r="B278" t="s">
        <v>142</v>
      </c>
      <c r="C278">
        <v>159768469</v>
      </c>
      <c r="D278" t="s">
        <v>155</v>
      </c>
      <c r="E278">
        <v>101559686</v>
      </c>
      <c r="F278" t="s">
        <v>652</v>
      </c>
      <c r="G278" t="s">
        <v>375</v>
      </c>
      <c r="H278" s="19">
        <v>2160</v>
      </c>
    </row>
    <row r="279" spans="1:8" x14ac:dyDescent="0.2">
      <c r="A279" t="s">
        <v>88</v>
      </c>
      <c r="B279" t="s">
        <v>142</v>
      </c>
      <c r="C279">
        <v>159768470</v>
      </c>
      <c r="D279" t="s">
        <v>155</v>
      </c>
      <c r="E279">
        <v>101559686</v>
      </c>
      <c r="F279" t="s">
        <v>653</v>
      </c>
      <c r="G279" t="s">
        <v>156</v>
      </c>
      <c r="H279" s="19">
        <v>2160</v>
      </c>
    </row>
    <row r="280" spans="1:8" x14ac:dyDescent="0.2">
      <c r="A280" t="s">
        <v>88</v>
      </c>
      <c r="B280" t="s">
        <v>142</v>
      </c>
      <c r="C280">
        <v>283940608</v>
      </c>
      <c r="D280" t="s">
        <v>155</v>
      </c>
      <c r="E280">
        <v>101559686</v>
      </c>
      <c r="F280" t="s">
        <v>654</v>
      </c>
      <c r="G280" t="s">
        <v>664</v>
      </c>
      <c r="H280" s="19">
        <v>2160</v>
      </c>
    </row>
    <row r="281" spans="1:8" x14ac:dyDescent="0.2">
      <c r="A281" t="s">
        <v>88</v>
      </c>
      <c r="B281" t="s">
        <v>142</v>
      </c>
      <c r="C281">
        <v>283940609</v>
      </c>
      <c r="D281" t="s">
        <v>155</v>
      </c>
      <c r="E281">
        <v>101559686</v>
      </c>
      <c r="F281" t="s">
        <v>656</v>
      </c>
      <c r="G281" t="s">
        <v>665</v>
      </c>
      <c r="H281" s="19">
        <v>2160</v>
      </c>
    </row>
    <row r="282" spans="1:8" x14ac:dyDescent="0.2">
      <c r="A282" t="s">
        <v>88</v>
      </c>
      <c r="B282" t="s">
        <v>142</v>
      </c>
      <c r="C282">
        <v>157124308</v>
      </c>
      <c r="D282" t="s">
        <v>157</v>
      </c>
      <c r="E282">
        <v>99590935</v>
      </c>
      <c r="F282" t="s">
        <v>652</v>
      </c>
      <c r="G282" t="s">
        <v>158</v>
      </c>
      <c r="H282" s="19">
        <v>2160</v>
      </c>
    </row>
    <row r="283" spans="1:8" x14ac:dyDescent="0.2">
      <c r="A283" t="s">
        <v>88</v>
      </c>
      <c r="B283" t="s">
        <v>142</v>
      </c>
      <c r="C283">
        <v>157124309</v>
      </c>
      <c r="D283" t="s">
        <v>157</v>
      </c>
      <c r="E283">
        <v>99590935</v>
      </c>
      <c r="F283" t="s">
        <v>653</v>
      </c>
      <c r="G283" t="s">
        <v>159</v>
      </c>
      <c r="H283" s="19">
        <v>2160</v>
      </c>
    </row>
    <row r="284" spans="1:8" x14ac:dyDescent="0.2">
      <c r="A284" t="s">
        <v>88</v>
      </c>
      <c r="B284" t="s">
        <v>142</v>
      </c>
      <c r="C284">
        <v>283940617</v>
      </c>
      <c r="D284" t="s">
        <v>157</v>
      </c>
      <c r="E284">
        <v>99590935</v>
      </c>
      <c r="F284" t="s">
        <v>654</v>
      </c>
      <c r="G284" t="s">
        <v>666</v>
      </c>
      <c r="H284" s="19">
        <v>2160</v>
      </c>
    </row>
    <row r="285" spans="1:8" x14ac:dyDescent="0.2">
      <c r="A285" t="s">
        <v>88</v>
      </c>
      <c r="B285" t="s">
        <v>142</v>
      </c>
      <c r="C285">
        <v>283940618</v>
      </c>
      <c r="D285" t="s">
        <v>157</v>
      </c>
      <c r="E285">
        <v>99590935</v>
      </c>
      <c r="F285" t="s">
        <v>656</v>
      </c>
      <c r="G285" t="s">
        <v>667</v>
      </c>
      <c r="H285" s="19">
        <v>2160</v>
      </c>
    </row>
    <row r="286" spans="1:8" x14ac:dyDescent="0.2">
      <c r="A286" t="s">
        <v>88</v>
      </c>
      <c r="B286" t="s">
        <v>87</v>
      </c>
      <c r="C286">
        <v>286688430</v>
      </c>
      <c r="D286" t="s">
        <v>668</v>
      </c>
      <c r="E286">
        <v>172822599</v>
      </c>
      <c r="F286" t="s">
        <v>669</v>
      </c>
      <c r="G286" t="s">
        <v>670</v>
      </c>
      <c r="H286" s="20">
        <v>400</v>
      </c>
    </row>
    <row r="287" spans="1:8" x14ac:dyDescent="0.2">
      <c r="A287" t="s">
        <v>88</v>
      </c>
      <c r="B287" t="s">
        <v>87</v>
      </c>
      <c r="C287">
        <v>286688428</v>
      </c>
      <c r="D287" t="s">
        <v>671</v>
      </c>
      <c r="E287">
        <v>172822597</v>
      </c>
      <c r="F287" t="s">
        <v>669</v>
      </c>
      <c r="G287" t="s">
        <v>672</v>
      </c>
      <c r="H287" s="20">
        <v>400</v>
      </c>
    </row>
    <row r="288" spans="1:8" x14ac:dyDescent="0.2">
      <c r="A288" t="s">
        <v>88</v>
      </c>
      <c r="B288" t="s">
        <v>87</v>
      </c>
      <c r="C288">
        <v>286688429</v>
      </c>
      <c r="D288" t="s">
        <v>673</v>
      </c>
      <c r="E288">
        <v>172822598</v>
      </c>
      <c r="F288" t="s">
        <v>669</v>
      </c>
      <c r="G288" t="s">
        <v>674</v>
      </c>
      <c r="H288" s="20">
        <v>400</v>
      </c>
    </row>
    <row r="289" spans="1:8" x14ac:dyDescent="0.2">
      <c r="A289" t="s">
        <v>88</v>
      </c>
      <c r="B289" t="s">
        <v>87</v>
      </c>
      <c r="C289">
        <v>286688435</v>
      </c>
      <c r="D289" t="s">
        <v>675</v>
      </c>
      <c r="E289">
        <v>172822604</v>
      </c>
      <c r="F289" t="s">
        <v>669</v>
      </c>
      <c r="G289" t="s">
        <v>676</v>
      </c>
      <c r="H289" s="20">
        <v>400</v>
      </c>
    </row>
    <row r="290" spans="1:8" x14ac:dyDescent="0.2">
      <c r="A290" t="s">
        <v>88</v>
      </c>
      <c r="B290" t="s">
        <v>87</v>
      </c>
      <c r="C290">
        <v>286688431</v>
      </c>
      <c r="D290" t="s">
        <v>677</v>
      </c>
      <c r="E290">
        <v>172822600</v>
      </c>
      <c r="F290" t="s">
        <v>669</v>
      </c>
      <c r="G290" t="s">
        <v>678</v>
      </c>
      <c r="H290" s="20">
        <v>400</v>
      </c>
    </row>
    <row r="291" spans="1:8" x14ac:dyDescent="0.2">
      <c r="A291" t="s">
        <v>88</v>
      </c>
      <c r="B291" t="s">
        <v>87</v>
      </c>
      <c r="C291">
        <v>286688439</v>
      </c>
      <c r="D291" t="s">
        <v>679</v>
      </c>
      <c r="E291">
        <v>172822608</v>
      </c>
      <c r="F291" t="s">
        <v>669</v>
      </c>
      <c r="G291" t="s">
        <v>680</v>
      </c>
      <c r="H291" s="20">
        <v>400</v>
      </c>
    </row>
    <row r="292" spans="1:8" x14ac:dyDescent="0.2">
      <c r="A292" t="s">
        <v>88</v>
      </c>
      <c r="B292" t="s">
        <v>87</v>
      </c>
      <c r="C292">
        <v>286688438</v>
      </c>
      <c r="D292" t="s">
        <v>681</v>
      </c>
      <c r="E292">
        <v>172822607</v>
      </c>
      <c r="F292" t="s">
        <v>669</v>
      </c>
      <c r="G292" t="s">
        <v>682</v>
      </c>
      <c r="H292" s="20">
        <v>400</v>
      </c>
    </row>
    <row r="293" spans="1:8" x14ac:dyDescent="0.2">
      <c r="A293" t="s">
        <v>88</v>
      </c>
      <c r="B293" t="s">
        <v>87</v>
      </c>
      <c r="C293">
        <v>286688427</v>
      </c>
      <c r="D293" t="s">
        <v>683</v>
      </c>
      <c r="E293">
        <v>172822596</v>
      </c>
      <c r="F293" t="s">
        <v>669</v>
      </c>
      <c r="G293" t="s">
        <v>684</v>
      </c>
      <c r="H293" s="20">
        <v>400</v>
      </c>
    </row>
    <row r="294" spans="1:8" x14ac:dyDescent="0.2">
      <c r="A294" t="s">
        <v>88</v>
      </c>
      <c r="B294" t="s">
        <v>96</v>
      </c>
      <c r="C294">
        <v>285611441</v>
      </c>
      <c r="D294" t="s">
        <v>685</v>
      </c>
      <c r="E294">
        <v>172114739</v>
      </c>
      <c r="F294" t="s">
        <v>111</v>
      </c>
      <c r="G294" t="s">
        <v>686</v>
      </c>
      <c r="H294" s="20">
        <v>1500</v>
      </c>
    </row>
    <row r="295" spans="1:8" x14ac:dyDescent="0.2">
      <c r="A295" t="s">
        <v>88</v>
      </c>
      <c r="B295" t="s">
        <v>96</v>
      </c>
      <c r="C295">
        <v>285611437</v>
      </c>
      <c r="D295" t="s">
        <v>687</v>
      </c>
      <c r="E295">
        <v>172114735</v>
      </c>
      <c r="F295" t="s">
        <v>111</v>
      </c>
      <c r="G295" t="s">
        <v>688</v>
      </c>
      <c r="H295" s="20">
        <v>1500</v>
      </c>
    </row>
    <row r="296" spans="1:8" x14ac:dyDescent="0.2">
      <c r="A296" t="s">
        <v>88</v>
      </c>
      <c r="B296" t="s">
        <v>96</v>
      </c>
      <c r="C296">
        <v>285611436</v>
      </c>
      <c r="D296" t="s">
        <v>689</v>
      </c>
      <c r="E296">
        <v>172114734</v>
      </c>
      <c r="F296" t="s">
        <v>111</v>
      </c>
      <c r="G296" t="s">
        <v>690</v>
      </c>
      <c r="H296" s="20">
        <v>1500</v>
      </c>
    </row>
    <row r="297" spans="1:8" x14ac:dyDescent="0.2">
      <c r="A297" t="s">
        <v>88</v>
      </c>
      <c r="B297" t="s">
        <v>96</v>
      </c>
      <c r="C297">
        <v>285611439</v>
      </c>
      <c r="D297" t="s">
        <v>691</v>
      </c>
      <c r="E297">
        <v>172114736</v>
      </c>
      <c r="F297" t="s">
        <v>111</v>
      </c>
      <c r="G297" t="s">
        <v>692</v>
      </c>
      <c r="H297" s="20">
        <v>1500</v>
      </c>
    </row>
    <row r="298" spans="1:8" x14ac:dyDescent="0.2">
      <c r="A298" t="s">
        <v>88</v>
      </c>
      <c r="B298" t="s">
        <v>96</v>
      </c>
      <c r="C298">
        <v>285611440</v>
      </c>
      <c r="D298" t="s">
        <v>693</v>
      </c>
      <c r="E298">
        <v>172114738</v>
      </c>
      <c r="F298" t="s">
        <v>111</v>
      </c>
      <c r="G298" t="s">
        <v>694</v>
      </c>
      <c r="H298" s="20">
        <v>1500</v>
      </c>
    </row>
    <row r="299" spans="1:8" x14ac:dyDescent="0.2">
      <c r="A299" t="s">
        <v>88</v>
      </c>
      <c r="B299" t="s">
        <v>96</v>
      </c>
      <c r="C299">
        <v>285611435</v>
      </c>
      <c r="D299" t="s">
        <v>695</v>
      </c>
      <c r="E299">
        <v>172114733</v>
      </c>
      <c r="F299" t="s">
        <v>111</v>
      </c>
      <c r="G299" t="s">
        <v>696</v>
      </c>
      <c r="H299" s="20">
        <v>1500</v>
      </c>
    </row>
    <row r="300" spans="1:8" x14ac:dyDescent="0.2">
      <c r="A300" t="s">
        <v>88</v>
      </c>
      <c r="B300" t="s">
        <v>96</v>
      </c>
      <c r="C300">
        <v>285361132</v>
      </c>
      <c r="D300" t="s">
        <v>697</v>
      </c>
      <c r="E300">
        <v>171945305</v>
      </c>
      <c r="F300" t="s">
        <v>111</v>
      </c>
      <c r="G300" t="s">
        <v>698</v>
      </c>
      <c r="H300" s="20">
        <v>1900</v>
      </c>
    </row>
    <row r="301" spans="1:8" x14ac:dyDescent="0.2">
      <c r="A301" t="s">
        <v>88</v>
      </c>
      <c r="B301" t="s">
        <v>96</v>
      </c>
      <c r="C301">
        <v>285361131</v>
      </c>
      <c r="D301" t="s">
        <v>699</v>
      </c>
      <c r="E301">
        <v>171945304</v>
      </c>
      <c r="F301" t="s">
        <v>111</v>
      </c>
      <c r="G301" t="s">
        <v>700</v>
      </c>
      <c r="H301" s="20">
        <v>1900</v>
      </c>
    </row>
    <row r="302" spans="1:8" x14ac:dyDescent="0.2">
      <c r="A302" t="s">
        <v>88</v>
      </c>
      <c r="B302" t="s">
        <v>96</v>
      </c>
      <c r="C302">
        <v>285361134</v>
      </c>
      <c r="D302" t="s">
        <v>701</v>
      </c>
      <c r="E302">
        <v>171945307</v>
      </c>
      <c r="F302" t="s">
        <v>111</v>
      </c>
      <c r="G302" t="s">
        <v>702</v>
      </c>
      <c r="H302" s="20">
        <v>1900</v>
      </c>
    </row>
    <row r="303" spans="1:8" x14ac:dyDescent="0.2">
      <c r="A303" t="s">
        <v>88</v>
      </c>
      <c r="B303" t="s">
        <v>96</v>
      </c>
      <c r="C303">
        <v>285361138</v>
      </c>
      <c r="D303" t="s">
        <v>703</v>
      </c>
      <c r="E303">
        <v>171945311</v>
      </c>
      <c r="F303" t="s">
        <v>111</v>
      </c>
      <c r="G303" t="s">
        <v>704</v>
      </c>
      <c r="H303" s="20">
        <v>1900</v>
      </c>
    </row>
    <row r="304" spans="1:8" x14ac:dyDescent="0.2">
      <c r="A304" t="s">
        <v>88</v>
      </c>
      <c r="B304" t="s">
        <v>96</v>
      </c>
      <c r="C304">
        <v>285361137</v>
      </c>
      <c r="D304" t="s">
        <v>705</v>
      </c>
      <c r="E304">
        <v>171945310</v>
      </c>
      <c r="F304" t="s">
        <v>111</v>
      </c>
      <c r="G304" t="s">
        <v>706</v>
      </c>
      <c r="H304" s="20">
        <v>1900</v>
      </c>
    </row>
    <row r="305" spans="1:8" x14ac:dyDescent="0.2">
      <c r="A305" t="s">
        <v>88</v>
      </c>
      <c r="B305" t="s">
        <v>96</v>
      </c>
      <c r="C305">
        <v>285361129</v>
      </c>
      <c r="D305" t="s">
        <v>707</v>
      </c>
      <c r="E305">
        <v>171945302</v>
      </c>
      <c r="F305" t="s">
        <v>111</v>
      </c>
      <c r="G305" t="s">
        <v>708</v>
      </c>
      <c r="H305" s="20">
        <v>1900</v>
      </c>
    </row>
    <row r="306" spans="1:8" x14ac:dyDescent="0.2">
      <c r="A306" t="s">
        <v>88</v>
      </c>
      <c r="B306" t="s">
        <v>96</v>
      </c>
      <c r="C306">
        <v>285361128</v>
      </c>
      <c r="D306" t="s">
        <v>709</v>
      </c>
      <c r="E306">
        <v>171945301</v>
      </c>
      <c r="F306" t="s">
        <v>111</v>
      </c>
      <c r="G306" t="s">
        <v>710</v>
      </c>
      <c r="H306" s="20">
        <v>1900</v>
      </c>
    </row>
    <row r="307" spans="1:8" x14ac:dyDescent="0.2">
      <c r="A307" t="s">
        <v>88</v>
      </c>
      <c r="B307" t="s">
        <v>96</v>
      </c>
      <c r="C307">
        <v>285620311</v>
      </c>
      <c r="D307" t="s">
        <v>711</v>
      </c>
      <c r="E307">
        <v>172121355</v>
      </c>
      <c r="F307" t="s">
        <v>111</v>
      </c>
      <c r="G307" t="s">
        <v>712</v>
      </c>
      <c r="H307" s="20">
        <v>1500</v>
      </c>
    </row>
    <row r="308" spans="1:8" x14ac:dyDescent="0.2">
      <c r="A308" t="s">
        <v>88</v>
      </c>
      <c r="B308" t="s">
        <v>96</v>
      </c>
      <c r="C308">
        <v>285620308</v>
      </c>
      <c r="D308" t="s">
        <v>713</v>
      </c>
      <c r="E308">
        <v>172121352</v>
      </c>
      <c r="F308" t="s">
        <v>111</v>
      </c>
      <c r="G308" t="s">
        <v>714</v>
      </c>
      <c r="H308" s="20">
        <v>1500</v>
      </c>
    </row>
    <row r="309" spans="1:8" x14ac:dyDescent="0.2">
      <c r="A309" t="s">
        <v>88</v>
      </c>
      <c r="B309" t="s">
        <v>96</v>
      </c>
      <c r="C309">
        <v>285620314</v>
      </c>
      <c r="D309" t="s">
        <v>715</v>
      </c>
      <c r="E309">
        <v>172121358</v>
      </c>
      <c r="F309" t="s">
        <v>111</v>
      </c>
      <c r="G309" t="s">
        <v>716</v>
      </c>
      <c r="H309" s="20">
        <v>1500</v>
      </c>
    </row>
    <row r="310" spans="1:8" x14ac:dyDescent="0.2">
      <c r="A310" t="s">
        <v>88</v>
      </c>
      <c r="B310" t="s">
        <v>96</v>
      </c>
      <c r="C310">
        <v>285620312</v>
      </c>
      <c r="D310" t="s">
        <v>717</v>
      </c>
      <c r="E310">
        <v>172121356</v>
      </c>
      <c r="F310" t="s">
        <v>111</v>
      </c>
      <c r="G310" t="s">
        <v>718</v>
      </c>
      <c r="H310" s="20">
        <v>1500</v>
      </c>
    </row>
    <row r="311" spans="1:8" x14ac:dyDescent="0.2">
      <c r="A311" t="s">
        <v>88</v>
      </c>
      <c r="B311" t="s">
        <v>96</v>
      </c>
      <c r="C311">
        <v>285620313</v>
      </c>
      <c r="D311" t="s">
        <v>719</v>
      </c>
      <c r="E311">
        <v>172121357</v>
      </c>
      <c r="F311" t="s">
        <v>111</v>
      </c>
      <c r="G311" t="s">
        <v>720</v>
      </c>
      <c r="H311" s="20">
        <v>1500</v>
      </c>
    </row>
    <row r="312" spans="1:8" x14ac:dyDescent="0.2">
      <c r="A312" t="s">
        <v>88</v>
      </c>
      <c r="B312" t="s">
        <v>96</v>
      </c>
      <c r="C312">
        <v>285620310</v>
      </c>
      <c r="D312" t="s">
        <v>721</v>
      </c>
      <c r="E312">
        <v>172121354</v>
      </c>
      <c r="F312" t="s">
        <v>111</v>
      </c>
      <c r="G312" t="s">
        <v>722</v>
      </c>
      <c r="H312" s="20">
        <v>1500</v>
      </c>
    </row>
    <row r="313" spans="1:8" x14ac:dyDescent="0.2">
      <c r="A313" t="s">
        <v>88</v>
      </c>
      <c r="B313" t="s">
        <v>96</v>
      </c>
      <c r="C313">
        <v>285613630</v>
      </c>
      <c r="D313" t="s">
        <v>723</v>
      </c>
      <c r="E313">
        <v>172116695</v>
      </c>
      <c r="F313" t="s">
        <v>111</v>
      </c>
      <c r="G313" t="s">
        <v>724</v>
      </c>
      <c r="H313" s="20">
        <v>1300</v>
      </c>
    </row>
    <row r="314" spans="1:8" x14ac:dyDescent="0.2">
      <c r="A314" t="s">
        <v>88</v>
      </c>
      <c r="B314" t="s">
        <v>96</v>
      </c>
      <c r="C314">
        <v>285613629</v>
      </c>
      <c r="D314" t="s">
        <v>725</v>
      </c>
      <c r="E314">
        <v>172116694</v>
      </c>
      <c r="F314" t="s">
        <v>111</v>
      </c>
      <c r="G314" t="s">
        <v>726</v>
      </c>
      <c r="H314" s="20">
        <v>1300</v>
      </c>
    </row>
    <row r="315" spans="1:8" x14ac:dyDescent="0.2">
      <c r="A315" t="s">
        <v>88</v>
      </c>
      <c r="B315" t="s">
        <v>96</v>
      </c>
      <c r="C315">
        <v>285613632</v>
      </c>
      <c r="D315" t="s">
        <v>727</v>
      </c>
      <c r="E315">
        <v>172116697</v>
      </c>
      <c r="F315" t="s">
        <v>111</v>
      </c>
      <c r="G315" t="s">
        <v>728</v>
      </c>
      <c r="H315" s="20">
        <v>1300</v>
      </c>
    </row>
    <row r="316" spans="1:8" x14ac:dyDescent="0.2">
      <c r="A316" t="s">
        <v>88</v>
      </c>
      <c r="B316" t="s">
        <v>96</v>
      </c>
      <c r="C316">
        <v>285613631</v>
      </c>
      <c r="D316" t="s">
        <v>729</v>
      </c>
      <c r="E316">
        <v>172116696</v>
      </c>
      <c r="F316" t="s">
        <v>111</v>
      </c>
      <c r="G316" t="s">
        <v>730</v>
      </c>
      <c r="H316" s="20">
        <v>1300</v>
      </c>
    </row>
    <row r="317" spans="1:8" x14ac:dyDescent="0.2">
      <c r="A317" t="s">
        <v>88</v>
      </c>
      <c r="B317" t="s">
        <v>96</v>
      </c>
      <c r="C317">
        <v>285613628</v>
      </c>
      <c r="D317" t="s">
        <v>731</v>
      </c>
      <c r="E317">
        <v>172116693</v>
      </c>
      <c r="F317" t="s">
        <v>111</v>
      </c>
      <c r="G317" t="s">
        <v>732</v>
      </c>
      <c r="H317" s="20">
        <v>1300</v>
      </c>
    </row>
    <row r="318" spans="1:8" x14ac:dyDescent="0.2">
      <c r="A318" t="s">
        <v>88</v>
      </c>
      <c r="B318" t="s">
        <v>96</v>
      </c>
      <c r="C318">
        <v>285618456</v>
      </c>
      <c r="D318" t="s">
        <v>733</v>
      </c>
      <c r="E318">
        <v>172120277</v>
      </c>
      <c r="F318" t="s">
        <v>111</v>
      </c>
      <c r="G318" t="s">
        <v>734</v>
      </c>
      <c r="H318" s="20">
        <v>1600</v>
      </c>
    </row>
    <row r="319" spans="1:8" x14ac:dyDescent="0.2">
      <c r="A319" t="s">
        <v>88</v>
      </c>
      <c r="B319" t="s">
        <v>96</v>
      </c>
      <c r="C319">
        <v>285618453</v>
      </c>
      <c r="D319" t="s">
        <v>735</v>
      </c>
      <c r="E319">
        <v>172120274</v>
      </c>
      <c r="F319" t="s">
        <v>111</v>
      </c>
      <c r="G319" t="s">
        <v>736</v>
      </c>
      <c r="H319" s="20">
        <v>1600</v>
      </c>
    </row>
    <row r="320" spans="1:8" x14ac:dyDescent="0.2">
      <c r="A320" t="s">
        <v>88</v>
      </c>
      <c r="B320" t="s">
        <v>96</v>
      </c>
      <c r="C320">
        <v>285618450</v>
      </c>
      <c r="D320" t="s">
        <v>737</v>
      </c>
      <c r="E320">
        <v>172120271</v>
      </c>
      <c r="F320" t="s">
        <v>111</v>
      </c>
      <c r="G320" t="s">
        <v>738</v>
      </c>
      <c r="H320" s="20">
        <v>1600</v>
      </c>
    </row>
    <row r="321" spans="1:8" x14ac:dyDescent="0.2">
      <c r="A321" t="s">
        <v>88</v>
      </c>
      <c r="B321" t="s">
        <v>96</v>
      </c>
      <c r="C321">
        <v>285610823</v>
      </c>
      <c r="D321" t="s">
        <v>739</v>
      </c>
      <c r="E321">
        <v>172114412</v>
      </c>
      <c r="F321" t="s">
        <v>740</v>
      </c>
      <c r="G321" t="s">
        <v>741</v>
      </c>
      <c r="H321" s="20">
        <v>1600</v>
      </c>
    </row>
    <row r="322" spans="1:8" x14ac:dyDescent="0.2">
      <c r="A322" t="s">
        <v>88</v>
      </c>
      <c r="B322" t="s">
        <v>96</v>
      </c>
      <c r="C322">
        <v>285610821</v>
      </c>
      <c r="D322" t="s">
        <v>742</v>
      </c>
      <c r="E322">
        <v>172114410</v>
      </c>
      <c r="F322" t="s">
        <v>111</v>
      </c>
      <c r="G322" t="s">
        <v>743</v>
      </c>
      <c r="H322" s="20">
        <v>1600</v>
      </c>
    </row>
    <row r="323" spans="1:8" x14ac:dyDescent="0.2">
      <c r="A323" t="s">
        <v>88</v>
      </c>
      <c r="B323" t="s">
        <v>96</v>
      </c>
      <c r="C323">
        <v>285976588</v>
      </c>
      <c r="D323" t="s">
        <v>744</v>
      </c>
      <c r="E323">
        <v>172349254</v>
      </c>
      <c r="F323" t="s">
        <v>111</v>
      </c>
      <c r="G323" t="s">
        <v>745</v>
      </c>
      <c r="H323" s="20">
        <v>1600</v>
      </c>
    </row>
    <row r="324" spans="1:8" x14ac:dyDescent="0.2">
      <c r="A324" t="s">
        <v>88</v>
      </c>
      <c r="B324" t="s">
        <v>96</v>
      </c>
      <c r="C324">
        <v>285610822</v>
      </c>
      <c r="D324" t="s">
        <v>746</v>
      </c>
      <c r="E324">
        <v>172114411</v>
      </c>
      <c r="F324" t="s">
        <v>111</v>
      </c>
      <c r="G324" t="s">
        <v>747</v>
      </c>
      <c r="H324" s="20">
        <v>1600</v>
      </c>
    </row>
    <row r="325" spans="1:8" x14ac:dyDescent="0.2">
      <c r="A325" t="s">
        <v>88</v>
      </c>
      <c r="B325" t="s">
        <v>96</v>
      </c>
      <c r="C325">
        <v>285610820</v>
      </c>
      <c r="D325" t="s">
        <v>748</v>
      </c>
      <c r="E325">
        <v>172114409</v>
      </c>
      <c r="F325" t="s">
        <v>111</v>
      </c>
      <c r="G325" t="s">
        <v>749</v>
      </c>
      <c r="H325" s="20">
        <v>1600</v>
      </c>
    </row>
    <row r="326" spans="1:8" x14ac:dyDescent="0.2">
      <c r="A326" t="s">
        <v>88</v>
      </c>
      <c r="B326" t="s">
        <v>96</v>
      </c>
      <c r="C326">
        <v>285619853</v>
      </c>
      <c r="D326" t="s">
        <v>750</v>
      </c>
      <c r="E326">
        <v>172121067</v>
      </c>
      <c r="F326" t="s">
        <v>111</v>
      </c>
      <c r="G326" t="s">
        <v>751</v>
      </c>
      <c r="H326" s="20">
        <v>1600</v>
      </c>
    </row>
    <row r="327" spans="1:8" x14ac:dyDescent="0.2">
      <c r="A327" t="s">
        <v>88</v>
      </c>
      <c r="B327" t="s">
        <v>96</v>
      </c>
      <c r="C327">
        <v>285619858</v>
      </c>
      <c r="D327" t="s">
        <v>752</v>
      </c>
      <c r="E327">
        <v>172121072</v>
      </c>
      <c r="F327" t="s">
        <v>111</v>
      </c>
      <c r="G327" t="s">
        <v>753</v>
      </c>
      <c r="H327" s="20">
        <v>1600</v>
      </c>
    </row>
    <row r="328" spans="1:8" x14ac:dyDescent="0.2">
      <c r="A328" t="s">
        <v>88</v>
      </c>
      <c r="B328" t="s">
        <v>96</v>
      </c>
      <c r="C328">
        <v>285619854</v>
      </c>
      <c r="D328" t="s">
        <v>754</v>
      </c>
      <c r="E328">
        <v>172121068</v>
      </c>
      <c r="F328" t="s">
        <v>111</v>
      </c>
      <c r="G328" t="s">
        <v>755</v>
      </c>
      <c r="H328" s="20">
        <v>1600</v>
      </c>
    </row>
    <row r="329" spans="1:8" x14ac:dyDescent="0.2">
      <c r="A329" t="s">
        <v>88</v>
      </c>
      <c r="B329" t="s">
        <v>96</v>
      </c>
      <c r="C329">
        <v>285619857</v>
      </c>
      <c r="D329" t="s">
        <v>756</v>
      </c>
      <c r="E329">
        <v>172121071</v>
      </c>
      <c r="F329" t="s">
        <v>111</v>
      </c>
      <c r="G329" t="s">
        <v>757</v>
      </c>
      <c r="H329" s="20">
        <v>1600</v>
      </c>
    </row>
    <row r="330" spans="1:8" x14ac:dyDescent="0.2">
      <c r="A330" t="s">
        <v>88</v>
      </c>
      <c r="B330" t="s">
        <v>96</v>
      </c>
      <c r="C330">
        <v>285619855</v>
      </c>
      <c r="D330" t="s">
        <v>758</v>
      </c>
      <c r="E330">
        <v>172121069</v>
      </c>
      <c r="F330" t="s">
        <v>111</v>
      </c>
      <c r="G330" t="s">
        <v>759</v>
      </c>
      <c r="H330" s="20">
        <v>1600</v>
      </c>
    </row>
    <row r="331" spans="1:8" x14ac:dyDescent="0.2">
      <c r="A331" t="s">
        <v>88</v>
      </c>
      <c r="B331" t="s">
        <v>96</v>
      </c>
      <c r="C331">
        <v>285619852</v>
      </c>
      <c r="D331" t="s">
        <v>760</v>
      </c>
      <c r="E331">
        <v>172121066</v>
      </c>
      <c r="F331" t="s">
        <v>111</v>
      </c>
      <c r="G331" t="s">
        <v>761</v>
      </c>
      <c r="H331" s="20">
        <v>1600</v>
      </c>
    </row>
    <row r="332" spans="1:8" x14ac:dyDescent="0.2">
      <c r="A332" t="s">
        <v>88</v>
      </c>
      <c r="B332" t="s">
        <v>96</v>
      </c>
      <c r="C332">
        <v>285619851</v>
      </c>
      <c r="D332" t="s">
        <v>762</v>
      </c>
      <c r="E332">
        <v>172121065</v>
      </c>
      <c r="F332" t="s">
        <v>111</v>
      </c>
      <c r="G332" t="s">
        <v>763</v>
      </c>
      <c r="H332" s="20">
        <v>1600</v>
      </c>
    </row>
    <row r="333" spans="1:8" x14ac:dyDescent="0.2">
      <c r="A333" t="s">
        <v>88</v>
      </c>
      <c r="B333" t="s">
        <v>96</v>
      </c>
      <c r="C333">
        <v>285613972</v>
      </c>
      <c r="D333" t="s">
        <v>764</v>
      </c>
      <c r="E333">
        <v>172116886</v>
      </c>
      <c r="F333" t="s">
        <v>111</v>
      </c>
      <c r="G333" t="s">
        <v>765</v>
      </c>
      <c r="H333" s="20">
        <v>1600</v>
      </c>
    </row>
    <row r="334" spans="1:8" x14ac:dyDescent="0.2">
      <c r="A334" t="s">
        <v>88</v>
      </c>
      <c r="B334" t="s">
        <v>96</v>
      </c>
      <c r="C334">
        <v>285613965</v>
      </c>
      <c r="D334" t="s">
        <v>766</v>
      </c>
      <c r="E334">
        <v>172116882</v>
      </c>
      <c r="F334" t="s">
        <v>111</v>
      </c>
      <c r="G334" t="s">
        <v>767</v>
      </c>
      <c r="H334" s="20">
        <v>1600</v>
      </c>
    </row>
    <row r="335" spans="1:8" x14ac:dyDescent="0.2">
      <c r="A335" t="s">
        <v>88</v>
      </c>
      <c r="B335" t="s">
        <v>96</v>
      </c>
      <c r="C335">
        <v>285613971</v>
      </c>
      <c r="D335" t="s">
        <v>768</v>
      </c>
      <c r="E335">
        <v>172116885</v>
      </c>
      <c r="F335" t="s">
        <v>111</v>
      </c>
      <c r="G335" t="s">
        <v>769</v>
      </c>
      <c r="H335" s="20">
        <v>1600</v>
      </c>
    </row>
    <row r="336" spans="1:8" x14ac:dyDescent="0.2">
      <c r="A336" t="s">
        <v>88</v>
      </c>
      <c r="B336" t="s">
        <v>96</v>
      </c>
      <c r="C336">
        <v>285613966</v>
      </c>
      <c r="D336" t="s">
        <v>770</v>
      </c>
      <c r="E336">
        <v>172116883</v>
      </c>
      <c r="F336" t="s">
        <v>111</v>
      </c>
      <c r="G336" t="s">
        <v>771</v>
      </c>
      <c r="H336" s="20">
        <v>1600</v>
      </c>
    </row>
    <row r="337" spans="1:8" x14ac:dyDescent="0.2">
      <c r="A337" t="s">
        <v>88</v>
      </c>
      <c r="B337" t="s">
        <v>96</v>
      </c>
      <c r="C337">
        <v>285614978</v>
      </c>
      <c r="D337" t="s">
        <v>772</v>
      </c>
      <c r="E337">
        <v>172117642</v>
      </c>
      <c r="F337" t="s">
        <v>111</v>
      </c>
      <c r="G337" t="s">
        <v>773</v>
      </c>
      <c r="H337" s="20">
        <v>1600</v>
      </c>
    </row>
    <row r="338" spans="1:8" x14ac:dyDescent="0.2">
      <c r="A338" t="s">
        <v>88</v>
      </c>
      <c r="B338" t="s">
        <v>96</v>
      </c>
      <c r="C338">
        <v>285614977</v>
      </c>
      <c r="D338" t="s">
        <v>774</v>
      </c>
      <c r="E338">
        <v>172117641</v>
      </c>
      <c r="F338" t="s">
        <v>111</v>
      </c>
      <c r="G338" t="s">
        <v>775</v>
      </c>
      <c r="H338" s="20">
        <v>1600</v>
      </c>
    </row>
    <row r="339" spans="1:8" x14ac:dyDescent="0.2">
      <c r="A339" t="s">
        <v>88</v>
      </c>
      <c r="B339" t="s">
        <v>96</v>
      </c>
      <c r="C339">
        <v>285614970</v>
      </c>
      <c r="D339" t="s">
        <v>776</v>
      </c>
      <c r="E339">
        <v>172117634</v>
      </c>
      <c r="F339" t="s">
        <v>111</v>
      </c>
      <c r="G339" t="s">
        <v>777</v>
      </c>
      <c r="H339" s="20">
        <v>1600</v>
      </c>
    </row>
    <row r="340" spans="1:8" x14ac:dyDescent="0.2">
      <c r="A340" t="s">
        <v>88</v>
      </c>
      <c r="B340" t="s">
        <v>96</v>
      </c>
      <c r="C340">
        <v>285614972</v>
      </c>
      <c r="D340" t="s">
        <v>778</v>
      </c>
      <c r="E340">
        <v>172117636</v>
      </c>
      <c r="F340" t="s">
        <v>111</v>
      </c>
      <c r="G340" t="s">
        <v>779</v>
      </c>
      <c r="H340" s="20">
        <v>1600</v>
      </c>
    </row>
    <row r="341" spans="1:8" x14ac:dyDescent="0.2">
      <c r="A341" t="s">
        <v>88</v>
      </c>
      <c r="B341" t="s">
        <v>96</v>
      </c>
      <c r="C341">
        <v>285614974</v>
      </c>
      <c r="D341" t="s">
        <v>780</v>
      </c>
      <c r="E341">
        <v>172117638</v>
      </c>
      <c r="F341" t="s">
        <v>111</v>
      </c>
      <c r="G341" t="s">
        <v>781</v>
      </c>
      <c r="H341" s="20">
        <v>1600</v>
      </c>
    </row>
    <row r="342" spans="1:8" x14ac:dyDescent="0.2">
      <c r="A342" t="s">
        <v>88</v>
      </c>
      <c r="B342" t="s">
        <v>96</v>
      </c>
      <c r="C342">
        <v>285614968</v>
      </c>
      <c r="D342" t="s">
        <v>782</v>
      </c>
      <c r="E342">
        <v>172117632</v>
      </c>
      <c r="F342" t="s">
        <v>111</v>
      </c>
      <c r="G342" t="s">
        <v>783</v>
      </c>
      <c r="H342" s="20">
        <v>1600</v>
      </c>
    </row>
    <row r="343" spans="1:8" x14ac:dyDescent="0.2">
      <c r="A343" t="s">
        <v>88</v>
      </c>
      <c r="B343" t="s">
        <v>96</v>
      </c>
      <c r="C343">
        <v>285617902</v>
      </c>
      <c r="D343" t="s">
        <v>784</v>
      </c>
      <c r="E343">
        <v>172119985</v>
      </c>
      <c r="F343" t="s">
        <v>111</v>
      </c>
      <c r="G343" t="s">
        <v>785</v>
      </c>
      <c r="H343" s="2">
        <v>1500</v>
      </c>
    </row>
    <row r="344" spans="1:8" x14ac:dyDescent="0.2">
      <c r="A344" t="s">
        <v>88</v>
      </c>
      <c r="B344" t="s">
        <v>96</v>
      </c>
      <c r="C344">
        <v>285617897</v>
      </c>
      <c r="D344" t="s">
        <v>786</v>
      </c>
      <c r="E344">
        <v>172119980</v>
      </c>
      <c r="F344" t="s">
        <v>111</v>
      </c>
      <c r="G344" t="s">
        <v>787</v>
      </c>
      <c r="H344" s="2">
        <v>1500</v>
      </c>
    </row>
    <row r="345" spans="1:8" x14ac:dyDescent="0.2">
      <c r="A345" t="s">
        <v>88</v>
      </c>
      <c r="B345" t="s">
        <v>96</v>
      </c>
      <c r="C345">
        <v>285617900</v>
      </c>
      <c r="D345" t="s">
        <v>788</v>
      </c>
      <c r="E345">
        <v>172119983</v>
      </c>
      <c r="F345" t="s">
        <v>111</v>
      </c>
      <c r="G345" t="s">
        <v>789</v>
      </c>
      <c r="H345" s="2">
        <v>1500</v>
      </c>
    </row>
    <row r="346" spans="1:8" x14ac:dyDescent="0.2">
      <c r="A346" t="s">
        <v>88</v>
      </c>
      <c r="B346" t="s">
        <v>96</v>
      </c>
      <c r="C346">
        <v>285617899</v>
      </c>
      <c r="D346" t="s">
        <v>790</v>
      </c>
      <c r="E346">
        <v>172119982</v>
      </c>
      <c r="F346" t="s">
        <v>111</v>
      </c>
      <c r="G346" t="s">
        <v>791</v>
      </c>
      <c r="H346" s="2">
        <v>1500</v>
      </c>
    </row>
    <row r="347" spans="1:8" x14ac:dyDescent="0.2">
      <c r="A347" t="s">
        <v>88</v>
      </c>
      <c r="B347" t="s">
        <v>96</v>
      </c>
      <c r="C347">
        <v>285617898</v>
      </c>
      <c r="D347" t="s">
        <v>792</v>
      </c>
      <c r="E347">
        <v>172119981</v>
      </c>
      <c r="F347" t="s">
        <v>111</v>
      </c>
      <c r="G347" t="s">
        <v>793</v>
      </c>
      <c r="H347" s="2">
        <v>1500</v>
      </c>
    </row>
    <row r="348" spans="1:8" x14ac:dyDescent="0.2">
      <c r="A348" t="s">
        <v>88</v>
      </c>
      <c r="B348" t="s">
        <v>96</v>
      </c>
      <c r="C348">
        <v>285617896</v>
      </c>
      <c r="D348" t="s">
        <v>794</v>
      </c>
      <c r="E348">
        <v>172119979</v>
      </c>
      <c r="F348" t="s">
        <v>111</v>
      </c>
      <c r="G348" t="s">
        <v>795</v>
      </c>
      <c r="H348" s="2">
        <v>1500</v>
      </c>
    </row>
    <row r="349" spans="1:8" x14ac:dyDescent="0.2">
      <c r="A349" t="s">
        <v>88</v>
      </c>
      <c r="B349" t="s">
        <v>96</v>
      </c>
      <c r="C349">
        <v>285617343</v>
      </c>
      <c r="D349" t="s">
        <v>796</v>
      </c>
      <c r="E349">
        <v>172119630</v>
      </c>
      <c r="F349" t="s">
        <v>111</v>
      </c>
      <c r="G349" t="s">
        <v>797</v>
      </c>
      <c r="H349" s="2">
        <v>1600</v>
      </c>
    </row>
    <row r="350" spans="1:8" x14ac:dyDescent="0.2">
      <c r="A350" t="s">
        <v>88</v>
      </c>
      <c r="B350" t="s">
        <v>96</v>
      </c>
      <c r="C350">
        <v>285617340</v>
      </c>
      <c r="D350" t="s">
        <v>798</v>
      </c>
      <c r="E350">
        <v>172119627</v>
      </c>
      <c r="F350" t="s">
        <v>111</v>
      </c>
      <c r="G350" t="s">
        <v>799</v>
      </c>
      <c r="H350" s="2">
        <v>1600</v>
      </c>
    </row>
    <row r="351" spans="1:8" x14ac:dyDescent="0.2">
      <c r="A351" t="s">
        <v>88</v>
      </c>
      <c r="B351" t="s">
        <v>96</v>
      </c>
      <c r="C351">
        <v>285617339</v>
      </c>
      <c r="D351" t="s">
        <v>800</v>
      </c>
      <c r="E351">
        <v>172119626</v>
      </c>
      <c r="F351" t="s">
        <v>111</v>
      </c>
      <c r="G351" t="s">
        <v>801</v>
      </c>
      <c r="H351" s="2">
        <v>1600</v>
      </c>
    </row>
    <row r="352" spans="1:8" x14ac:dyDescent="0.2">
      <c r="A352" t="s">
        <v>88</v>
      </c>
      <c r="B352" t="s">
        <v>96</v>
      </c>
      <c r="C352">
        <v>285617342</v>
      </c>
      <c r="D352" t="s">
        <v>802</v>
      </c>
      <c r="E352">
        <v>172119629</v>
      </c>
      <c r="F352" t="s">
        <v>111</v>
      </c>
      <c r="G352" t="s">
        <v>803</v>
      </c>
      <c r="H352" s="2">
        <v>1600</v>
      </c>
    </row>
    <row r="353" spans="1:8" x14ac:dyDescent="0.2">
      <c r="A353" t="s">
        <v>88</v>
      </c>
      <c r="B353" t="s">
        <v>96</v>
      </c>
      <c r="C353">
        <v>285617341</v>
      </c>
      <c r="D353" t="s">
        <v>804</v>
      </c>
      <c r="E353">
        <v>172119628</v>
      </c>
      <c r="F353" t="s">
        <v>111</v>
      </c>
      <c r="G353" t="s">
        <v>805</v>
      </c>
      <c r="H353" s="2">
        <v>1600</v>
      </c>
    </row>
    <row r="354" spans="1:8" x14ac:dyDescent="0.2">
      <c r="A354" t="s">
        <v>88</v>
      </c>
      <c r="B354" t="s">
        <v>96</v>
      </c>
      <c r="C354">
        <v>285617338</v>
      </c>
      <c r="D354" t="s">
        <v>806</v>
      </c>
      <c r="E354">
        <v>172119625</v>
      </c>
      <c r="F354" t="s">
        <v>111</v>
      </c>
      <c r="G354" t="s">
        <v>807</v>
      </c>
      <c r="H354" s="2">
        <v>1600</v>
      </c>
    </row>
    <row r="355" spans="1:8" x14ac:dyDescent="0.2">
      <c r="A355" t="s">
        <v>88</v>
      </c>
      <c r="B355" t="s">
        <v>96</v>
      </c>
      <c r="C355">
        <v>285617337</v>
      </c>
      <c r="D355" t="s">
        <v>808</v>
      </c>
      <c r="E355">
        <v>172119624</v>
      </c>
      <c r="F355" t="s">
        <v>111</v>
      </c>
      <c r="G355" t="s">
        <v>809</v>
      </c>
      <c r="H355" s="2">
        <v>1600</v>
      </c>
    </row>
    <row r="356" spans="1:8" x14ac:dyDescent="0.2">
      <c r="A356" t="s">
        <v>88</v>
      </c>
      <c r="B356" t="s">
        <v>96</v>
      </c>
      <c r="C356">
        <v>285496591</v>
      </c>
      <c r="D356" t="s">
        <v>810</v>
      </c>
      <c r="E356">
        <v>172042928</v>
      </c>
      <c r="F356" t="s">
        <v>111</v>
      </c>
      <c r="G356" t="s">
        <v>811</v>
      </c>
      <c r="H356" s="2">
        <v>1500</v>
      </c>
    </row>
    <row r="357" spans="1:8" x14ac:dyDescent="0.2">
      <c r="A357" t="s">
        <v>88</v>
      </c>
      <c r="B357" t="s">
        <v>96</v>
      </c>
      <c r="C357">
        <v>285496584</v>
      </c>
      <c r="D357" t="s">
        <v>812</v>
      </c>
      <c r="E357">
        <v>172042921</v>
      </c>
      <c r="F357" t="s">
        <v>111</v>
      </c>
      <c r="G357" t="s">
        <v>813</v>
      </c>
      <c r="H357" s="2">
        <v>1500</v>
      </c>
    </row>
    <row r="358" spans="1:8" x14ac:dyDescent="0.2">
      <c r="A358" t="s">
        <v>88</v>
      </c>
      <c r="B358" t="s">
        <v>96</v>
      </c>
      <c r="C358">
        <v>285496592</v>
      </c>
      <c r="D358" t="s">
        <v>814</v>
      </c>
      <c r="E358">
        <v>172042929</v>
      </c>
      <c r="F358" t="s">
        <v>111</v>
      </c>
      <c r="G358" t="s">
        <v>815</v>
      </c>
      <c r="H358" s="2">
        <v>1500</v>
      </c>
    </row>
    <row r="359" spans="1:8" x14ac:dyDescent="0.2">
      <c r="A359" t="s">
        <v>88</v>
      </c>
      <c r="B359" t="s">
        <v>96</v>
      </c>
      <c r="C359">
        <v>285496588</v>
      </c>
      <c r="D359" t="s">
        <v>816</v>
      </c>
      <c r="E359">
        <v>172042925</v>
      </c>
      <c r="F359" t="s">
        <v>111</v>
      </c>
      <c r="G359" t="s">
        <v>817</v>
      </c>
      <c r="H359" s="2">
        <v>1500</v>
      </c>
    </row>
    <row r="360" spans="1:8" x14ac:dyDescent="0.2">
      <c r="A360" t="s">
        <v>88</v>
      </c>
      <c r="B360" t="s">
        <v>96</v>
      </c>
      <c r="C360">
        <v>285496581</v>
      </c>
      <c r="D360" t="s">
        <v>818</v>
      </c>
      <c r="E360">
        <v>172042919</v>
      </c>
      <c r="F360" t="s">
        <v>111</v>
      </c>
      <c r="G360" t="s">
        <v>819</v>
      </c>
      <c r="H360" s="2">
        <v>1500</v>
      </c>
    </row>
    <row r="361" spans="1:8" x14ac:dyDescent="0.2">
      <c r="A361" t="s">
        <v>88</v>
      </c>
      <c r="B361" t="s">
        <v>96</v>
      </c>
      <c r="C361">
        <v>285496569</v>
      </c>
      <c r="D361" t="s">
        <v>820</v>
      </c>
      <c r="E361">
        <v>172042907</v>
      </c>
      <c r="F361" t="s">
        <v>111</v>
      </c>
      <c r="G361" t="s">
        <v>821</v>
      </c>
      <c r="H361" s="2">
        <v>1500</v>
      </c>
    </row>
    <row r="362" spans="1:8" x14ac:dyDescent="0.2">
      <c r="A362" t="s">
        <v>88</v>
      </c>
      <c r="B362" t="s">
        <v>96</v>
      </c>
      <c r="C362">
        <v>285496589</v>
      </c>
      <c r="D362" t="s">
        <v>822</v>
      </c>
      <c r="E362">
        <v>172042926</v>
      </c>
      <c r="F362" t="s">
        <v>111</v>
      </c>
      <c r="G362" t="s">
        <v>823</v>
      </c>
      <c r="H362" s="2">
        <v>1500</v>
      </c>
    </row>
    <row r="363" spans="1:8" x14ac:dyDescent="0.2">
      <c r="A363" t="s">
        <v>88</v>
      </c>
      <c r="B363" t="s">
        <v>160</v>
      </c>
      <c r="C363">
        <v>285991882</v>
      </c>
      <c r="D363" t="s">
        <v>824</v>
      </c>
      <c r="E363">
        <v>172359297</v>
      </c>
      <c r="F363" t="s">
        <v>94</v>
      </c>
      <c r="G363" t="s">
        <v>825</v>
      </c>
      <c r="H363" s="2">
        <v>750</v>
      </c>
    </row>
    <row r="364" spans="1:8" x14ac:dyDescent="0.2">
      <c r="A364" t="s">
        <v>88</v>
      </c>
      <c r="B364" t="s">
        <v>160</v>
      </c>
      <c r="C364">
        <v>285991851</v>
      </c>
      <c r="D364" t="s">
        <v>826</v>
      </c>
      <c r="E364">
        <v>172359286</v>
      </c>
      <c r="F364" t="s">
        <v>94</v>
      </c>
      <c r="G364" t="s">
        <v>827</v>
      </c>
      <c r="H364" s="2">
        <v>750</v>
      </c>
    </row>
    <row r="365" spans="1:8" x14ac:dyDescent="0.2">
      <c r="A365" t="s">
        <v>88</v>
      </c>
      <c r="B365" t="s">
        <v>160</v>
      </c>
      <c r="C365">
        <v>285991925</v>
      </c>
      <c r="D365" t="s">
        <v>828</v>
      </c>
      <c r="E365">
        <v>172359313</v>
      </c>
      <c r="F365" t="s">
        <v>94</v>
      </c>
      <c r="G365" t="s">
        <v>829</v>
      </c>
      <c r="H365" s="2">
        <v>750</v>
      </c>
    </row>
    <row r="366" spans="1:8" x14ac:dyDescent="0.2">
      <c r="A366" t="s">
        <v>88</v>
      </c>
      <c r="B366" t="s">
        <v>160</v>
      </c>
      <c r="C366">
        <v>285991865</v>
      </c>
      <c r="D366" t="s">
        <v>830</v>
      </c>
      <c r="E366">
        <v>172359290</v>
      </c>
      <c r="F366" t="s">
        <v>94</v>
      </c>
      <c r="G366" t="s">
        <v>831</v>
      </c>
      <c r="H366" s="2">
        <v>750</v>
      </c>
    </row>
    <row r="367" spans="1:8" x14ac:dyDescent="0.2">
      <c r="A367" t="s">
        <v>88</v>
      </c>
      <c r="B367" t="s">
        <v>160</v>
      </c>
      <c r="C367">
        <v>285991867</v>
      </c>
      <c r="D367" t="s">
        <v>832</v>
      </c>
      <c r="E367">
        <v>172359292</v>
      </c>
      <c r="F367" t="s">
        <v>94</v>
      </c>
      <c r="G367" t="s">
        <v>833</v>
      </c>
      <c r="H367" s="2">
        <v>750</v>
      </c>
    </row>
    <row r="368" spans="1:8" x14ac:dyDescent="0.2">
      <c r="A368" t="s">
        <v>88</v>
      </c>
      <c r="B368" t="s">
        <v>160</v>
      </c>
      <c r="C368">
        <v>285991893</v>
      </c>
      <c r="D368" t="s">
        <v>834</v>
      </c>
      <c r="E368">
        <v>172359302</v>
      </c>
      <c r="F368" t="s">
        <v>94</v>
      </c>
      <c r="G368" t="s">
        <v>835</v>
      </c>
      <c r="H368" s="2">
        <v>750</v>
      </c>
    </row>
    <row r="369" spans="1:8" x14ac:dyDescent="0.2">
      <c r="A369" t="s">
        <v>88</v>
      </c>
      <c r="B369" t="s">
        <v>160</v>
      </c>
      <c r="C369">
        <v>285991883</v>
      </c>
      <c r="D369" t="s">
        <v>836</v>
      </c>
      <c r="E369">
        <v>172359298</v>
      </c>
      <c r="F369" t="s">
        <v>740</v>
      </c>
      <c r="G369" t="s">
        <v>837</v>
      </c>
      <c r="H369" s="2">
        <v>750</v>
      </c>
    </row>
    <row r="370" spans="1:8" x14ac:dyDescent="0.2">
      <c r="A370" t="s">
        <v>88</v>
      </c>
      <c r="B370" t="s">
        <v>160</v>
      </c>
      <c r="C370">
        <v>285991921</v>
      </c>
      <c r="D370" t="s">
        <v>838</v>
      </c>
      <c r="E370">
        <v>172359309</v>
      </c>
      <c r="F370" t="s">
        <v>94</v>
      </c>
      <c r="G370" t="s">
        <v>839</v>
      </c>
      <c r="H370" s="2">
        <v>750</v>
      </c>
    </row>
    <row r="371" spans="1:8" x14ac:dyDescent="0.2">
      <c r="A371" t="s">
        <v>88</v>
      </c>
      <c r="B371" t="s">
        <v>160</v>
      </c>
      <c r="C371">
        <v>285991901</v>
      </c>
      <c r="D371" t="s">
        <v>840</v>
      </c>
      <c r="E371">
        <v>172359304</v>
      </c>
      <c r="F371" t="s">
        <v>94</v>
      </c>
      <c r="G371" t="s">
        <v>841</v>
      </c>
      <c r="H371" s="2">
        <v>750</v>
      </c>
    </row>
    <row r="372" spans="1:8" x14ac:dyDescent="0.2">
      <c r="A372" t="s">
        <v>88</v>
      </c>
      <c r="B372" t="s">
        <v>160</v>
      </c>
      <c r="C372">
        <v>285991870</v>
      </c>
      <c r="D372" t="s">
        <v>842</v>
      </c>
      <c r="E372">
        <v>172359293</v>
      </c>
      <c r="F372" t="s">
        <v>94</v>
      </c>
      <c r="G372" t="s">
        <v>843</v>
      </c>
      <c r="H372" s="2">
        <v>750</v>
      </c>
    </row>
    <row r="373" spans="1:8" x14ac:dyDescent="0.2">
      <c r="A373" t="s">
        <v>88</v>
      </c>
      <c r="B373" t="s">
        <v>160</v>
      </c>
      <c r="C373">
        <v>285991923</v>
      </c>
      <c r="D373" t="s">
        <v>844</v>
      </c>
      <c r="E373">
        <v>172359311</v>
      </c>
      <c r="F373" t="s">
        <v>94</v>
      </c>
      <c r="G373" t="s">
        <v>845</v>
      </c>
      <c r="H373" s="2">
        <v>750</v>
      </c>
    </row>
    <row r="374" spans="1:8" x14ac:dyDescent="0.2">
      <c r="A374" t="s">
        <v>88</v>
      </c>
      <c r="B374" t="s">
        <v>160</v>
      </c>
      <c r="C374">
        <v>285991919</v>
      </c>
      <c r="D374" t="s">
        <v>846</v>
      </c>
      <c r="E374">
        <v>172359307</v>
      </c>
      <c r="F374" t="s">
        <v>94</v>
      </c>
      <c r="G374" t="s">
        <v>847</v>
      </c>
      <c r="H374" s="2">
        <v>750</v>
      </c>
    </row>
    <row r="375" spans="1:8" x14ac:dyDescent="0.2">
      <c r="A375" t="s">
        <v>88</v>
      </c>
      <c r="B375" t="s">
        <v>160</v>
      </c>
      <c r="C375">
        <v>285991866</v>
      </c>
      <c r="D375" t="s">
        <v>848</v>
      </c>
      <c r="E375">
        <v>172359291</v>
      </c>
      <c r="F375" t="s">
        <v>94</v>
      </c>
      <c r="G375" t="s">
        <v>849</v>
      </c>
      <c r="H375" s="2">
        <v>750</v>
      </c>
    </row>
    <row r="376" spans="1:8" x14ac:dyDescent="0.2">
      <c r="A376" t="s">
        <v>88</v>
      </c>
      <c r="B376" t="s">
        <v>160</v>
      </c>
      <c r="C376">
        <v>285991892</v>
      </c>
      <c r="D376" t="s">
        <v>850</v>
      </c>
      <c r="E376">
        <v>172359301</v>
      </c>
      <c r="F376" t="s">
        <v>94</v>
      </c>
      <c r="G376" t="s">
        <v>851</v>
      </c>
      <c r="H376" s="2">
        <v>750</v>
      </c>
    </row>
    <row r="377" spans="1:8" x14ac:dyDescent="0.2">
      <c r="A377" t="s">
        <v>88</v>
      </c>
      <c r="B377" t="s">
        <v>160</v>
      </c>
      <c r="C377">
        <v>285991850</v>
      </c>
      <c r="D377" t="s">
        <v>852</v>
      </c>
      <c r="E377">
        <v>172359285</v>
      </c>
      <c r="F377" t="s">
        <v>94</v>
      </c>
      <c r="G377" t="s">
        <v>853</v>
      </c>
      <c r="H377" s="2">
        <v>750</v>
      </c>
    </row>
    <row r="378" spans="1:8" x14ac:dyDescent="0.2">
      <c r="A378" t="s">
        <v>88</v>
      </c>
      <c r="B378" t="s">
        <v>318</v>
      </c>
      <c r="C378">
        <v>286042391</v>
      </c>
      <c r="D378" t="s">
        <v>854</v>
      </c>
      <c r="E378">
        <v>172395884</v>
      </c>
      <c r="F378" t="s">
        <v>111</v>
      </c>
      <c r="G378" t="s">
        <v>855</v>
      </c>
      <c r="H378" s="2">
        <v>750</v>
      </c>
    </row>
    <row r="379" spans="1:8" x14ac:dyDescent="0.2">
      <c r="A379" t="s">
        <v>88</v>
      </c>
      <c r="B379" t="s">
        <v>318</v>
      </c>
      <c r="C379">
        <v>286042386</v>
      </c>
      <c r="D379" t="s">
        <v>856</v>
      </c>
      <c r="E379">
        <v>172395879</v>
      </c>
      <c r="F379" t="s">
        <v>111</v>
      </c>
      <c r="G379" t="s">
        <v>857</v>
      </c>
      <c r="H379" s="2">
        <v>750</v>
      </c>
    </row>
    <row r="380" spans="1:8" x14ac:dyDescent="0.2">
      <c r="A380" t="s">
        <v>88</v>
      </c>
      <c r="B380" t="s">
        <v>318</v>
      </c>
      <c r="C380">
        <v>286042385</v>
      </c>
      <c r="D380" t="s">
        <v>858</v>
      </c>
      <c r="E380">
        <v>172395878</v>
      </c>
      <c r="F380" t="s">
        <v>111</v>
      </c>
      <c r="G380" t="s">
        <v>859</v>
      </c>
      <c r="H380" s="2">
        <v>750</v>
      </c>
    </row>
    <row r="381" spans="1:8" x14ac:dyDescent="0.2">
      <c r="A381" t="s">
        <v>88</v>
      </c>
      <c r="B381" t="s">
        <v>318</v>
      </c>
      <c r="C381">
        <v>286042392</v>
      </c>
      <c r="D381" t="s">
        <v>860</v>
      </c>
      <c r="E381">
        <v>172395885</v>
      </c>
      <c r="F381" t="s">
        <v>111</v>
      </c>
      <c r="G381" t="s">
        <v>861</v>
      </c>
      <c r="H381" s="2">
        <v>750</v>
      </c>
    </row>
    <row r="382" spans="1:8" x14ac:dyDescent="0.2">
      <c r="A382" t="s">
        <v>88</v>
      </c>
      <c r="B382" t="s">
        <v>318</v>
      </c>
      <c r="C382">
        <v>286042384</v>
      </c>
      <c r="D382" t="s">
        <v>862</v>
      </c>
      <c r="E382">
        <v>172395877</v>
      </c>
      <c r="F382" t="s">
        <v>111</v>
      </c>
      <c r="G382" t="s">
        <v>863</v>
      </c>
      <c r="H382" s="2">
        <v>750</v>
      </c>
    </row>
    <row r="383" spans="1:8" x14ac:dyDescent="0.2">
      <c r="A383" t="s">
        <v>88</v>
      </c>
      <c r="B383" t="s">
        <v>318</v>
      </c>
      <c r="C383">
        <v>286042389</v>
      </c>
      <c r="D383" t="s">
        <v>864</v>
      </c>
      <c r="E383">
        <v>172395882</v>
      </c>
      <c r="F383" t="s">
        <v>111</v>
      </c>
      <c r="G383" t="s">
        <v>865</v>
      </c>
      <c r="H383" s="2">
        <v>750</v>
      </c>
    </row>
    <row r="384" spans="1:8" x14ac:dyDescent="0.2">
      <c r="A384" t="s">
        <v>88</v>
      </c>
      <c r="B384" t="s">
        <v>318</v>
      </c>
      <c r="C384">
        <v>286042390</v>
      </c>
      <c r="D384" t="s">
        <v>866</v>
      </c>
      <c r="E384">
        <v>172395883</v>
      </c>
      <c r="F384" t="s">
        <v>111</v>
      </c>
      <c r="G384" t="s">
        <v>867</v>
      </c>
      <c r="H384" s="2">
        <v>750</v>
      </c>
    </row>
    <row r="385" spans="1:8" x14ac:dyDescent="0.2">
      <c r="A385" t="s">
        <v>88</v>
      </c>
      <c r="B385" t="s">
        <v>318</v>
      </c>
      <c r="C385">
        <v>286042387</v>
      </c>
      <c r="D385" t="s">
        <v>868</v>
      </c>
      <c r="E385">
        <v>172395880</v>
      </c>
      <c r="F385" t="s">
        <v>111</v>
      </c>
      <c r="G385" t="s">
        <v>869</v>
      </c>
      <c r="H385" s="2">
        <v>750</v>
      </c>
    </row>
    <row r="386" spans="1:8" x14ac:dyDescent="0.2">
      <c r="A386" t="s">
        <v>88</v>
      </c>
      <c r="B386" t="s">
        <v>160</v>
      </c>
      <c r="C386">
        <v>285986336</v>
      </c>
      <c r="D386" t="s">
        <v>870</v>
      </c>
      <c r="E386">
        <v>172355778</v>
      </c>
      <c r="F386" t="s">
        <v>94</v>
      </c>
      <c r="G386" t="s">
        <v>871</v>
      </c>
      <c r="H386" s="2">
        <v>750</v>
      </c>
    </row>
    <row r="387" spans="1:8" x14ac:dyDescent="0.2">
      <c r="A387" t="s">
        <v>88</v>
      </c>
      <c r="B387" t="s">
        <v>160</v>
      </c>
      <c r="C387">
        <v>285986305</v>
      </c>
      <c r="D387" t="s">
        <v>872</v>
      </c>
      <c r="E387">
        <v>172355747</v>
      </c>
      <c r="F387" t="s">
        <v>94</v>
      </c>
      <c r="G387" t="s">
        <v>873</v>
      </c>
      <c r="H387" s="2">
        <v>750</v>
      </c>
    </row>
    <row r="388" spans="1:8" x14ac:dyDescent="0.2">
      <c r="A388" t="s">
        <v>88</v>
      </c>
      <c r="B388" t="s">
        <v>160</v>
      </c>
      <c r="C388">
        <v>285986334</v>
      </c>
      <c r="D388" t="s">
        <v>874</v>
      </c>
      <c r="E388">
        <v>172355776</v>
      </c>
      <c r="F388" t="s">
        <v>94</v>
      </c>
      <c r="G388" t="s">
        <v>875</v>
      </c>
      <c r="H388" s="2">
        <v>750</v>
      </c>
    </row>
    <row r="389" spans="1:8" x14ac:dyDescent="0.2">
      <c r="A389" t="s">
        <v>88</v>
      </c>
      <c r="B389" t="s">
        <v>160</v>
      </c>
      <c r="C389">
        <v>285986319</v>
      </c>
      <c r="D389" t="s">
        <v>876</v>
      </c>
      <c r="E389">
        <v>172355761</v>
      </c>
      <c r="F389" t="s">
        <v>94</v>
      </c>
      <c r="G389" t="s">
        <v>877</v>
      </c>
      <c r="H389" s="2">
        <v>750</v>
      </c>
    </row>
    <row r="390" spans="1:8" x14ac:dyDescent="0.2">
      <c r="A390" t="s">
        <v>88</v>
      </c>
      <c r="B390" t="s">
        <v>160</v>
      </c>
      <c r="C390">
        <v>285986329</v>
      </c>
      <c r="D390" t="s">
        <v>878</v>
      </c>
      <c r="E390">
        <v>172355770</v>
      </c>
      <c r="F390" t="s">
        <v>94</v>
      </c>
      <c r="G390" t="s">
        <v>879</v>
      </c>
      <c r="H390" s="2">
        <v>750</v>
      </c>
    </row>
    <row r="391" spans="1:8" x14ac:dyDescent="0.2">
      <c r="A391" t="s">
        <v>88</v>
      </c>
      <c r="B391" t="s">
        <v>160</v>
      </c>
      <c r="C391">
        <v>285986322</v>
      </c>
      <c r="D391" t="s">
        <v>880</v>
      </c>
      <c r="E391">
        <v>172355764</v>
      </c>
      <c r="F391" t="s">
        <v>740</v>
      </c>
      <c r="G391" t="s">
        <v>881</v>
      </c>
      <c r="H391" s="2">
        <v>750</v>
      </c>
    </row>
    <row r="392" spans="1:8" x14ac:dyDescent="0.2">
      <c r="A392" t="s">
        <v>88</v>
      </c>
      <c r="B392" t="s">
        <v>160</v>
      </c>
      <c r="C392">
        <v>285986324</v>
      </c>
      <c r="D392" t="s">
        <v>882</v>
      </c>
      <c r="E392">
        <v>172355766</v>
      </c>
      <c r="F392" t="s">
        <v>94</v>
      </c>
      <c r="G392" t="s">
        <v>883</v>
      </c>
      <c r="H392" s="2">
        <v>750</v>
      </c>
    </row>
    <row r="393" spans="1:8" x14ac:dyDescent="0.2">
      <c r="A393" t="s">
        <v>88</v>
      </c>
      <c r="B393" t="s">
        <v>160</v>
      </c>
      <c r="C393">
        <v>285986338</v>
      </c>
      <c r="D393" t="s">
        <v>884</v>
      </c>
      <c r="E393">
        <v>172355780</v>
      </c>
      <c r="F393" t="s">
        <v>94</v>
      </c>
      <c r="G393" t="s">
        <v>885</v>
      </c>
      <c r="H393" s="2">
        <v>750</v>
      </c>
    </row>
    <row r="394" spans="1:8" x14ac:dyDescent="0.2">
      <c r="A394" t="s">
        <v>88</v>
      </c>
      <c r="B394" t="s">
        <v>160</v>
      </c>
      <c r="C394">
        <v>285986327</v>
      </c>
      <c r="D394" t="s">
        <v>886</v>
      </c>
      <c r="E394">
        <v>172355769</v>
      </c>
      <c r="F394" t="s">
        <v>94</v>
      </c>
      <c r="G394" t="s">
        <v>887</v>
      </c>
      <c r="H394" s="2">
        <v>750</v>
      </c>
    </row>
    <row r="395" spans="1:8" x14ac:dyDescent="0.2">
      <c r="A395" t="s">
        <v>88</v>
      </c>
      <c r="B395" t="s">
        <v>160</v>
      </c>
      <c r="C395">
        <v>285986312</v>
      </c>
      <c r="D395" t="s">
        <v>888</v>
      </c>
      <c r="E395">
        <v>172355754</v>
      </c>
      <c r="F395" t="s">
        <v>94</v>
      </c>
      <c r="G395" t="s">
        <v>889</v>
      </c>
      <c r="H395" s="2">
        <v>750</v>
      </c>
    </row>
    <row r="396" spans="1:8" x14ac:dyDescent="0.2">
      <c r="A396" t="s">
        <v>88</v>
      </c>
      <c r="B396" t="s">
        <v>160</v>
      </c>
      <c r="C396">
        <v>285986307</v>
      </c>
      <c r="D396" t="s">
        <v>890</v>
      </c>
      <c r="E396">
        <v>172355749</v>
      </c>
      <c r="F396" t="s">
        <v>740</v>
      </c>
      <c r="G396" t="s">
        <v>891</v>
      </c>
      <c r="H396" s="2">
        <v>750</v>
      </c>
    </row>
    <row r="397" spans="1:8" x14ac:dyDescent="0.2">
      <c r="A397" t="s">
        <v>88</v>
      </c>
      <c r="B397" t="s">
        <v>160</v>
      </c>
      <c r="C397">
        <v>285986313</v>
      </c>
      <c r="D397" t="s">
        <v>892</v>
      </c>
      <c r="E397">
        <v>172355755</v>
      </c>
      <c r="F397" t="s">
        <v>94</v>
      </c>
      <c r="G397" t="s">
        <v>893</v>
      </c>
      <c r="H397" s="2">
        <v>750</v>
      </c>
    </row>
    <row r="398" spans="1:8" x14ac:dyDescent="0.2">
      <c r="A398" t="s">
        <v>88</v>
      </c>
      <c r="B398" t="s">
        <v>160</v>
      </c>
      <c r="C398">
        <v>285986339</v>
      </c>
      <c r="D398" t="s">
        <v>894</v>
      </c>
      <c r="E398">
        <v>172355781</v>
      </c>
      <c r="F398" t="s">
        <v>94</v>
      </c>
      <c r="G398" t="s">
        <v>895</v>
      </c>
      <c r="H398" s="2">
        <v>750</v>
      </c>
    </row>
    <row r="399" spans="1:8" x14ac:dyDescent="0.2">
      <c r="A399" t="s">
        <v>88</v>
      </c>
      <c r="B399" t="s">
        <v>160</v>
      </c>
      <c r="C399">
        <v>285986297</v>
      </c>
      <c r="D399" t="s">
        <v>896</v>
      </c>
      <c r="E399">
        <v>172355739</v>
      </c>
      <c r="F399" t="s">
        <v>94</v>
      </c>
      <c r="G399" t="s">
        <v>897</v>
      </c>
      <c r="H399" s="2">
        <v>750</v>
      </c>
    </row>
    <row r="400" spans="1:8" x14ac:dyDescent="0.2">
      <c r="A400" t="s">
        <v>88</v>
      </c>
      <c r="B400" t="s">
        <v>318</v>
      </c>
      <c r="C400">
        <v>286017773</v>
      </c>
      <c r="D400" t="s">
        <v>898</v>
      </c>
      <c r="E400">
        <v>172377175</v>
      </c>
      <c r="F400" t="s">
        <v>596</v>
      </c>
      <c r="G400" t="s">
        <v>899</v>
      </c>
      <c r="H400" s="2">
        <v>500</v>
      </c>
    </row>
    <row r="401" spans="1:8" x14ac:dyDescent="0.2">
      <c r="A401" t="s">
        <v>88</v>
      </c>
      <c r="B401" t="s">
        <v>318</v>
      </c>
      <c r="C401">
        <v>286017778</v>
      </c>
      <c r="D401" t="s">
        <v>900</v>
      </c>
      <c r="E401">
        <v>172377180</v>
      </c>
      <c r="F401" t="s">
        <v>596</v>
      </c>
      <c r="G401" t="s">
        <v>901</v>
      </c>
      <c r="H401" s="2">
        <v>500</v>
      </c>
    </row>
    <row r="402" spans="1:8" x14ac:dyDescent="0.2">
      <c r="A402" t="s">
        <v>88</v>
      </c>
      <c r="B402" t="s">
        <v>318</v>
      </c>
      <c r="C402">
        <v>286017788</v>
      </c>
      <c r="D402" t="s">
        <v>902</v>
      </c>
      <c r="E402">
        <v>172377190</v>
      </c>
      <c r="F402" t="s">
        <v>596</v>
      </c>
      <c r="G402" t="s">
        <v>903</v>
      </c>
      <c r="H402" s="2">
        <v>500</v>
      </c>
    </row>
    <row r="403" spans="1:8" x14ac:dyDescent="0.2">
      <c r="A403" t="s">
        <v>88</v>
      </c>
      <c r="B403" t="s">
        <v>318</v>
      </c>
      <c r="C403">
        <v>286017784</v>
      </c>
      <c r="D403" t="s">
        <v>904</v>
      </c>
      <c r="E403">
        <v>172377186</v>
      </c>
      <c r="F403" t="s">
        <v>596</v>
      </c>
      <c r="G403" t="s">
        <v>905</v>
      </c>
      <c r="H403" s="2">
        <v>500</v>
      </c>
    </row>
    <row r="404" spans="1:8" x14ac:dyDescent="0.2">
      <c r="A404" t="s">
        <v>88</v>
      </c>
      <c r="B404" t="s">
        <v>318</v>
      </c>
      <c r="C404">
        <v>286017763</v>
      </c>
      <c r="D404" t="s">
        <v>906</v>
      </c>
      <c r="E404">
        <v>172377165</v>
      </c>
      <c r="F404" t="s">
        <v>596</v>
      </c>
      <c r="G404" t="s">
        <v>907</v>
      </c>
      <c r="H404" s="2">
        <v>500</v>
      </c>
    </row>
    <row r="405" spans="1:8" x14ac:dyDescent="0.2">
      <c r="A405" t="s">
        <v>88</v>
      </c>
      <c r="B405" t="s">
        <v>318</v>
      </c>
      <c r="C405">
        <v>286041282</v>
      </c>
      <c r="D405" t="s">
        <v>908</v>
      </c>
      <c r="E405">
        <v>172395117</v>
      </c>
      <c r="F405" t="s">
        <v>111</v>
      </c>
      <c r="G405" t="s">
        <v>909</v>
      </c>
      <c r="H405" s="2">
        <v>700</v>
      </c>
    </row>
    <row r="406" spans="1:8" x14ac:dyDescent="0.2">
      <c r="A406" t="s">
        <v>88</v>
      </c>
      <c r="B406" t="s">
        <v>318</v>
      </c>
      <c r="C406">
        <v>286041281</v>
      </c>
      <c r="D406" t="s">
        <v>910</v>
      </c>
      <c r="E406">
        <v>172395116</v>
      </c>
      <c r="F406" t="s">
        <v>111</v>
      </c>
      <c r="G406" t="s">
        <v>911</v>
      </c>
      <c r="H406" s="2">
        <v>700</v>
      </c>
    </row>
    <row r="407" spans="1:8" x14ac:dyDescent="0.2">
      <c r="A407" t="s">
        <v>88</v>
      </c>
      <c r="B407" t="s">
        <v>318</v>
      </c>
      <c r="C407">
        <v>286041283</v>
      </c>
      <c r="D407" t="s">
        <v>912</v>
      </c>
      <c r="E407">
        <v>172395118</v>
      </c>
      <c r="F407" t="s">
        <v>111</v>
      </c>
      <c r="G407" t="s">
        <v>913</v>
      </c>
      <c r="H407" s="2">
        <v>700</v>
      </c>
    </row>
    <row r="408" spans="1:8" x14ac:dyDescent="0.2">
      <c r="A408" t="s">
        <v>88</v>
      </c>
      <c r="B408" t="s">
        <v>318</v>
      </c>
      <c r="C408">
        <v>286041280</v>
      </c>
      <c r="D408" t="s">
        <v>914</v>
      </c>
      <c r="E408">
        <v>172395115</v>
      </c>
      <c r="F408" t="s">
        <v>111</v>
      </c>
      <c r="G408" t="s">
        <v>915</v>
      </c>
      <c r="H408" s="2">
        <v>700</v>
      </c>
    </row>
    <row r="409" spans="1:8" x14ac:dyDescent="0.2">
      <c r="A409" t="s">
        <v>88</v>
      </c>
      <c r="B409" t="s">
        <v>318</v>
      </c>
      <c r="C409">
        <v>286041277</v>
      </c>
      <c r="D409" t="s">
        <v>916</v>
      </c>
      <c r="E409">
        <v>172395112</v>
      </c>
      <c r="F409" t="s">
        <v>111</v>
      </c>
      <c r="G409" t="s">
        <v>917</v>
      </c>
      <c r="H409" s="2">
        <v>700</v>
      </c>
    </row>
    <row r="410" spans="1:8" x14ac:dyDescent="0.2">
      <c r="A410" t="s">
        <v>88</v>
      </c>
      <c r="B410" t="s">
        <v>318</v>
      </c>
      <c r="C410">
        <v>286041279</v>
      </c>
      <c r="D410" t="s">
        <v>918</v>
      </c>
      <c r="E410">
        <v>172395114</v>
      </c>
      <c r="F410" t="s">
        <v>111</v>
      </c>
      <c r="G410" t="s">
        <v>919</v>
      </c>
      <c r="H410" s="2">
        <v>700</v>
      </c>
    </row>
    <row r="411" spans="1:8" x14ac:dyDescent="0.2">
      <c r="A411" t="s">
        <v>88</v>
      </c>
      <c r="B411" t="s">
        <v>318</v>
      </c>
      <c r="C411">
        <v>286038309</v>
      </c>
      <c r="D411" t="s">
        <v>920</v>
      </c>
      <c r="E411">
        <v>172393091</v>
      </c>
      <c r="F411" t="s">
        <v>111</v>
      </c>
      <c r="G411" t="s">
        <v>921</v>
      </c>
      <c r="H411" s="2">
        <v>700</v>
      </c>
    </row>
    <row r="412" spans="1:8" x14ac:dyDescent="0.2">
      <c r="A412" t="s">
        <v>88</v>
      </c>
      <c r="B412" t="s">
        <v>318</v>
      </c>
      <c r="C412">
        <v>286038307</v>
      </c>
      <c r="D412" t="s">
        <v>922</v>
      </c>
      <c r="E412">
        <v>172393089</v>
      </c>
      <c r="F412" t="s">
        <v>111</v>
      </c>
      <c r="G412" t="s">
        <v>923</v>
      </c>
      <c r="H412" s="2">
        <v>700</v>
      </c>
    </row>
    <row r="413" spans="1:8" x14ac:dyDescent="0.2">
      <c r="A413" t="s">
        <v>88</v>
      </c>
      <c r="B413" t="s">
        <v>318</v>
      </c>
      <c r="C413">
        <v>286038311</v>
      </c>
      <c r="D413" t="s">
        <v>924</v>
      </c>
      <c r="E413">
        <v>172393093</v>
      </c>
      <c r="F413" t="s">
        <v>111</v>
      </c>
      <c r="G413" t="s">
        <v>925</v>
      </c>
      <c r="H413" s="2">
        <v>700</v>
      </c>
    </row>
    <row r="414" spans="1:8" x14ac:dyDescent="0.2">
      <c r="A414" t="s">
        <v>88</v>
      </c>
      <c r="B414" t="s">
        <v>318</v>
      </c>
      <c r="C414">
        <v>286038302</v>
      </c>
      <c r="D414" t="s">
        <v>926</v>
      </c>
      <c r="E414">
        <v>172393084</v>
      </c>
      <c r="F414" t="s">
        <v>111</v>
      </c>
      <c r="G414" t="s">
        <v>927</v>
      </c>
      <c r="H414" s="2">
        <v>700</v>
      </c>
    </row>
    <row r="415" spans="1:8" x14ac:dyDescent="0.2">
      <c r="A415" t="s">
        <v>88</v>
      </c>
      <c r="B415" t="s">
        <v>318</v>
      </c>
      <c r="C415">
        <v>286038306</v>
      </c>
      <c r="D415" t="s">
        <v>928</v>
      </c>
      <c r="E415">
        <v>172393088</v>
      </c>
      <c r="F415" t="s">
        <v>111</v>
      </c>
      <c r="G415" t="s">
        <v>929</v>
      </c>
      <c r="H415" s="2">
        <v>700</v>
      </c>
    </row>
    <row r="416" spans="1:8" x14ac:dyDescent="0.2">
      <c r="A416" t="s">
        <v>88</v>
      </c>
      <c r="B416" t="s">
        <v>318</v>
      </c>
      <c r="C416">
        <v>286038304</v>
      </c>
      <c r="D416" t="s">
        <v>930</v>
      </c>
      <c r="E416">
        <v>172393086</v>
      </c>
      <c r="F416" t="s">
        <v>111</v>
      </c>
      <c r="G416" t="s">
        <v>931</v>
      </c>
      <c r="H416" s="2">
        <v>700</v>
      </c>
    </row>
    <row r="417" spans="1:8" x14ac:dyDescent="0.2">
      <c r="A417" t="s">
        <v>88</v>
      </c>
      <c r="B417" t="s">
        <v>318</v>
      </c>
      <c r="C417">
        <v>286042649</v>
      </c>
      <c r="D417" t="s">
        <v>932</v>
      </c>
      <c r="E417">
        <v>172396077</v>
      </c>
      <c r="F417" t="s">
        <v>111</v>
      </c>
      <c r="G417" t="s">
        <v>933</v>
      </c>
      <c r="H417" s="2">
        <v>700</v>
      </c>
    </row>
    <row r="418" spans="1:8" x14ac:dyDescent="0.2">
      <c r="A418" t="s">
        <v>88</v>
      </c>
      <c r="B418" t="s">
        <v>318</v>
      </c>
      <c r="C418">
        <v>286042652</v>
      </c>
      <c r="D418" t="s">
        <v>934</v>
      </c>
      <c r="E418">
        <v>172396080</v>
      </c>
      <c r="F418" t="s">
        <v>111</v>
      </c>
      <c r="G418" t="s">
        <v>935</v>
      </c>
      <c r="H418" s="2">
        <v>700</v>
      </c>
    </row>
    <row r="419" spans="1:8" x14ac:dyDescent="0.2">
      <c r="A419" t="s">
        <v>88</v>
      </c>
      <c r="B419" t="s">
        <v>318</v>
      </c>
      <c r="C419">
        <v>286042648</v>
      </c>
      <c r="D419" t="s">
        <v>936</v>
      </c>
      <c r="E419">
        <v>172396076</v>
      </c>
      <c r="F419" t="s">
        <v>111</v>
      </c>
      <c r="G419" t="s">
        <v>937</v>
      </c>
      <c r="H419" s="2">
        <v>700</v>
      </c>
    </row>
    <row r="420" spans="1:8" x14ac:dyDescent="0.2">
      <c r="A420" t="s">
        <v>88</v>
      </c>
      <c r="B420" t="s">
        <v>318</v>
      </c>
      <c r="C420">
        <v>286042655</v>
      </c>
      <c r="D420" t="s">
        <v>938</v>
      </c>
      <c r="E420">
        <v>172396082</v>
      </c>
      <c r="F420" t="s">
        <v>111</v>
      </c>
      <c r="G420" t="s">
        <v>939</v>
      </c>
      <c r="H420" s="2">
        <v>700</v>
      </c>
    </row>
    <row r="421" spans="1:8" x14ac:dyDescent="0.2">
      <c r="A421" t="s">
        <v>88</v>
      </c>
      <c r="B421" t="s">
        <v>318</v>
      </c>
      <c r="C421">
        <v>286042650</v>
      </c>
      <c r="D421" t="s">
        <v>940</v>
      </c>
      <c r="E421">
        <v>172396078</v>
      </c>
      <c r="F421" t="s">
        <v>111</v>
      </c>
      <c r="G421" t="s">
        <v>941</v>
      </c>
      <c r="H421" s="2">
        <v>700</v>
      </c>
    </row>
    <row r="422" spans="1:8" x14ac:dyDescent="0.2">
      <c r="A422" t="s">
        <v>88</v>
      </c>
      <c r="B422" t="s">
        <v>318</v>
      </c>
      <c r="C422">
        <v>286042651</v>
      </c>
      <c r="D422" t="s">
        <v>942</v>
      </c>
      <c r="E422">
        <v>172396079</v>
      </c>
      <c r="F422" t="s">
        <v>111</v>
      </c>
      <c r="G422" t="s">
        <v>943</v>
      </c>
      <c r="H422" s="2">
        <v>700</v>
      </c>
    </row>
    <row r="423" spans="1:8" x14ac:dyDescent="0.2">
      <c r="A423" t="s">
        <v>88</v>
      </c>
      <c r="B423" t="s">
        <v>92</v>
      </c>
      <c r="C423">
        <v>286004048</v>
      </c>
      <c r="D423" t="s">
        <v>944</v>
      </c>
      <c r="E423">
        <v>172366641</v>
      </c>
      <c r="F423" t="s">
        <v>111</v>
      </c>
      <c r="G423" t="s">
        <v>945</v>
      </c>
      <c r="H423" s="2">
        <v>700</v>
      </c>
    </row>
    <row r="424" spans="1:8" x14ac:dyDescent="0.2">
      <c r="A424" t="s">
        <v>88</v>
      </c>
      <c r="B424" t="s">
        <v>92</v>
      </c>
      <c r="C424">
        <v>286004050</v>
      </c>
      <c r="D424" t="s">
        <v>946</v>
      </c>
      <c r="E424">
        <v>172366643</v>
      </c>
      <c r="F424" t="s">
        <v>111</v>
      </c>
      <c r="G424" t="s">
        <v>947</v>
      </c>
      <c r="H424" s="2">
        <v>700</v>
      </c>
    </row>
    <row r="425" spans="1:8" x14ac:dyDescent="0.2">
      <c r="A425" t="s">
        <v>88</v>
      </c>
      <c r="B425" t="s">
        <v>92</v>
      </c>
      <c r="C425">
        <v>286004042</v>
      </c>
      <c r="D425" t="s">
        <v>948</v>
      </c>
      <c r="E425">
        <v>172366638</v>
      </c>
      <c r="F425" t="s">
        <v>111</v>
      </c>
      <c r="G425" t="s">
        <v>949</v>
      </c>
      <c r="H425" s="2">
        <v>700</v>
      </c>
    </row>
    <row r="426" spans="1:8" x14ac:dyDescent="0.2">
      <c r="A426" t="s">
        <v>88</v>
      </c>
      <c r="B426" t="s">
        <v>92</v>
      </c>
      <c r="C426">
        <v>286004043</v>
      </c>
      <c r="D426" t="s">
        <v>950</v>
      </c>
      <c r="E426">
        <v>172366639</v>
      </c>
      <c r="F426" t="s">
        <v>111</v>
      </c>
      <c r="G426" t="s">
        <v>951</v>
      </c>
      <c r="H426" s="2">
        <v>700</v>
      </c>
    </row>
    <row r="427" spans="1:8" x14ac:dyDescent="0.2">
      <c r="A427" t="s">
        <v>88</v>
      </c>
      <c r="B427" t="s">
        <v>92</v>
      </c>
      <c r="C427">
        <v>286004040</v>
      </c>
      <c r="D427" t="s">
        <v>952</v>
      </c>
      <c r="E427">
        <v>172366636</v>
      </c>
      <c r="F427" t="s">
        <v>111</v>
      </c>
      <c r="G427" t="s">
        <v>953</v>
      </c>
      <c r="H427" s="2">
        <v>700</v>
      </c>
    </row>
    <row r="428" spans="1:8" x14ac:dyDescent="0.2">
      <c r="A428" t="s">
        <v>88</v>
      </c>
      <c r="B428" t="s">
        <v>92</v>
      </c>
      <c r="C428">
        <v>286004055</v>
      </c>
      <c r="D428" t="s">
        <v>954</v>
      </c>
      <c r="E428">
        <v>172366645</v>
      </c>
      <c r="F428" t="s">
        <v>740</v>
      </c>
      <c r="G428" t="s">
        <v>955</v>
      </c>
      <c r="H428" s="2">
        <v>700</v>
      </c>
    </row>
    <row r="429" spans="1:8" x14ac:dyDescent="0.2">
      <c r="A429" t="s">
        <v>88</v>
      </c>
      <c r="B429" t="s">
        <v>92</v>
      </c>
      <c r="C429">
        <v>286004056</v>
      </c>
      <c r="D429" t="s">
        <v>956</v>
      </c>
      <c r="E429">
        <v>172366646</v>
      </c>
      <c r="F429" t="s">
        <v>111</v>
      </c>
      <c r="G429" t="s">
        <v>957</v>
      </c>
      <c r="H429" s="2">
        <v>700</v>
      </c>
    </row>
    <row r="430" spans="1:8" x14ac:dyDescent="0.2">
      <c r="A430" t="s">
        <v>88</v>
      </c>
      <c r="B430" t="s">
        <v>160</v>
      </c>
      <c r="C430">
        <v>285997442</v>
      </c>
      <c r="D430" t="s">
        <v>958</v>
      </c>
      <c r="E430">
        <v>172362656</v>
      </c>
      <c r="F430" t="s">
        <v>94</v>
      </c>
      <c r="G430" t="s">
        <v>959</v>
      </c>
      <c r="H430" s="2">
        <v>750</v>
      </c>
    </row>
    <row r="431" spans="1:8" x14ac:dyDescent="0.2">
      <c r="A431" t="s">
        <v>88</v>
      </c>
      <c r="B431" t="s">
        <v>160</v>
      </c>
      <c r="C431">
        <v>285997429</v>
      </c>
      <c r="D431" t="s">
        <v>960</v>
      </c>
      <c r="E431">
        <v>172362650</v>
      </c>
      <c r="F431" t="s">
        <v>94</v>
      </c>
      <c r="G431" t="s">
        <v>961</v>
      </c>
      <c r="H431" s="2">
        <v>750</v>
      </c>
    </row>
    <row r="432" spans="1:8" x14ac:dyDescent="0.2">
      <c r="A432" t="s">
        <v>88</v>
      </c>
      <c r="B432" t="s">
        <v>160</v>
      </c>
      <c r="C432">
        <v>285997462</v>
      </c>
      <c r="D432" t="s">
        <v>962</v>
      </c>
      <c r="E432">
        <v>172362668</v>
      </c>
      <c r="F432" t="s">
        <v>94</v>
      </c>
      <c r="G432" t="s">
        <v>963</v>
      </c>
      <c r="H432" s="2">
        <v>750</v>
      </c>
    </row>
    <row r="433" spans="1:10" x14ac:dyDescent="0.2">
      <c r="A433" t="s">
        <v>88</v>
      </c>
      <c r="B433" t="s">
        <v>160</v>
      </c>
      <c r="C433">
        <v>285997487</v>
      </c>
      <c r="D433" t="s">
        <v>964</v>
      </c>
      <c r="E433">
        <v>172362681</v>
      </c>
      <c r="F433" t="s">
        <v>94</v>
      </c>
      <c r="G433" t="s">
        <v>965</v>
      </c>
      <c r="H433" s="2">
        <v>750</v>
      </c>
    </row>
    <row r="434" spans="1:10" x14ac:dyDescent="0.2">
      <c r="A434" t="s">
        <v>88</v>
      </c>
      <c r="B434" t="s">
        <v>160</v>
      </c>
      <c r="C434">
        <v>285997441</v>
      </c>
      <c r="D434" t="s">
        <v>966</v>
      </c>
      <c r="E434">
        <v>172362655</v>
      </c>
      <c r="F434" t="s">
        <v>94</v>
      </c>
      <c r="G434" t="s">
        <v>967</v>
      </c>
      <c r="H434" s="2">
        <v>750</v>
      </c>
    </row>
    <row r="435" spans="1:10" x14ac:dyDescent="0.2">
      <c r="A435" t="s">
        <v>88</v>
      </c>
      <c r="B435" t="s">
        <v>160</v>
      </c>
      <c r="C435">
        <v>285997446</v>
      </c>
      <c r="D435" t="s">
        <v>968</v>
      </c>
      <c r="E435">
        <v>172362659</v>
      </c>
      <c r="F435" t="s">
        <v>111</v>
      </c>
      <c r="G435" t="s">
        <v>969</v>
      </c>
      <c r="H435" s="2">
        <v>750</v>
      </c>
    </row>
    <row r="436" spans="1:10" x14ac:dyDescent="0.2">
      <c r="A436" t="s">
        <v>88</v>
      </c>
      <c r="B436" t="s">
        <v>160</v>
      </c>
      <c r="C436">
        <v>285997416</v>
      </c>
      <c r="D436" t="s">
        <v>970</v>
      </c>
      <c r="E436">
        <v>172362642</v>
      </c>
      <c r="F436" t="s">
        <v>94</v>
      </c>
      <c r="G436" t="s">
        <v>971</v>
      </c>
      <c r="H436" s="2">
        <v>750</v>
      </c>
    </row>
    <row r="437" spans="1:10" x14ac:dyDescent="0.2">
      <c r="A437" t="s">
        <v>88</v>
      </c>
      <c r="B437" t="s">
        <v>160</v>
      </c>
      <c r="C437">
        <v>285997494</v>
      </c>
      <c r="D437" t="s">
        <v>972</v>
      </c>
      <c r="E437">
        <v>172362685</v>
      </c>
      <c r="F437" t="s">
        <v>94</v>
      </c>
      <c r="G437" t="s">
        <v>973</v>
      </c>
      <c r="H437" s="2">
        <v>750</v>
      </c>
    </row>
    <row r="438" spans="1:10" x14ac:dyDescent="0.2">
      <c r="A438" t="s">
        <v>88</v>
      </c>
      <c r="B438" t="s">
        <v>160</v>
      </c>
      <c r="C438">
        <v>285997469</v>
      </c>
      <c r="D438" t="s">
        <v>974</v>
      </c>
      <c r="E438">
        <v>172362672</v>
      </c>
      <c r="F438" t="s">
        <v>94</v>
      </c>
      <c r="G438" t="s">
        <v>975</v>
      </c>
      <c r="H438" s="2">
        <v>750</v>
      </c>
    </row>
    <row r="439" spans="1:10" x14ac:dyDescent="0.2">
      <c r="A439" t="s">
        <v>88</v>
      </c>
      <c r="B439" t="s">
        <v>160</v>
      </c>
      <c r="C439">
        <v>285997432</v>
      </c>
      <c r="D439" t="s">
        <v>976</v>
      </c>
      <c r="E439">
        <v>172362651</v>
      </c>
      <c r="F439" t="s">
        <v>94</v>
      </c>
      <c r="G439" t="s">
        <v>977</v>
      </c>
      <c r="H439" s="2">
        <v>750</v>
      </c>
    </row>
    <row r="440" spans="1:10" x14ac:dyDescent="0.2">
      <c r="A440" t="s">
        <v>88</v>
      </c>
      <c r="B440" t="s">
        <v>160</v>
      </c>
      <c r="C440">
        <v>285997425</v>
      </c>
      <c r="D440" t="s">
        <v>978</v>
      </c>
      <c r="E440">
        <v>172362646</v>
      </c>
      <c r="F440" t="s">
        <v>94</v>
      </c>
      <c r="G440" t="s">
        <v>979</v>
      </c>
      <c r="H440" s="2">
        <v>750</v>
      </c>
    </row>
    <row r="441" spans="1:10" x14ac:dyDescent="0.2">
      <c r="A441" t="s">
        <v>88</v>
      </c>
      <c r="B441" t="s">
        <v>160</v>
      </c>
      <c r="C441">
        <v>285997443</v>
      </c>
      <c r="D441" t="s">
        <v>980</v>
      </c>
      <c r="E441">
        <v>172362657</v>
      </c>
      <c r="F441" t="s">
        <v>94</v>
      </c>
      <c r="G441" t="s">
        <v>981</v>
      </c>
      <c r="H441" s="2">
        <v>750</v>
      </c>
    </row>
    <row r="442" spans="1:10" x14ac:dyDescent="0.2">
      <c r="A442" t="s">
        <v>88</v>
      </c>
      <c r="B442" t="s">
        <v>160</v>
      </c>
      <c r="C442">
        <v>285997455</v>
      </c>
      <c r="D442" t="s">
        <v>982</v>
      </c>
      <c r="E442">
        <v>172362663</v>
      </c>
      <c r="F442" t="s">
        <v>94</v>
      </c>
      <c r="G442" t="s">
        <v>983</v>
      </c>
      <c r="H442" s="2">
        <v>750</v>
      </c>
    </row>
    <row r="443" spans="1:10" x14ac:dyDescent="0.2">
      <c r="A443" t="s">
        <v>88</v>
      </c>
      <c r="B443" t="s">
        <v>160</v>
      </c>
      <c r="C443">
        <v>285997477</v>
      </c>
      <c r="D443" t="s">
        <v>984</v>
      </c>
      <c r="E443">
        <v>172362677</v>
      </c>
      <c r="F443" t="s">
        <v>94</v>
      </c>
      <c r="G443" t="s">
        <v>985</v>
      </c>
      <c r="H443" s="2">
        <v>750</v>
      </c>
    </row>
    <row r="444" spans="1:10" x14ac:dyDescent="0.2">
      <c r="A444" t="s">
        <v>88</v>
      </c>
      <c r="B444" t="s">
        <v>167</v>
      </c>
      <c r="C444">
        <v>285628801</v>
      </c>
      <c r="D444" t="s">
        <v>988</v>
      </c>
      <c r="E444">
        <v>172125831</v>
      </c>
      <c r="F444" t="s">
        <v>165</v>
      </c>
      <c r="G444" t="s">
        <v>991</v>
      </c>
      <c r="H444">
        <v>3200</v>
      </c>
      <c r="I444">
        <v>35.75</v>
      </c>
      <c r="J444" t="s">
        <v>574</v>
      </c>
    </row>
    <row r="445" spans="1:10" x14ac:dyDescent="0.2">
      <c r="A445" t="s">
        <v>88</v>
      </c>
      <c r="B445" t="s">
        <v>167</v>
      </c>
      <c r="C445">
        <v>285628802</v>
      </c>
      <c r="D445" t="s">
        <v>988</v>
      </c>
      <c r="E445">
        <v>172125831</v>
      </c>
      <c r="F445" t="s">
        <v>171</v>
      </c>
      <c r="G445" t="s">
        <v>992</v>
      </c>
      <c r="H445">
        <v>3200</v>
      </c>
      <c r="I445">
        <v>35.75</v>
      </c>
      <c r="J445" t="s">
        <v>574</v>
      </c>
    </row>
    <row r="446" spans="1:10" x14ac:dyDescent="0.2">
      <c r="A446" t="s">
        <v>88</v>
      </c>
      <c r="B446" t="s">
        <v>167</v>
      </c>
      <c r="C446">
        <v>285628803</v>
      </c>
      <c r="D446" t="s">
        <v>988</v>
      </c>
      <c r="E446">
        <v>172125831</v>
      </c>
      <c r="F446" t="s">
        <v>169</v>
      </c>
      <c r="G446" t="s">
        <v>993</v>
      </c>
      <c r="H446">
        <v>3200</v>
      </c>
      <c r="I446">
        <v>35.75</v>
      </c>
      <c r="J446" t="s">
        <v>574</v>
      </c>
    </row>
    <row r="447" spans="1:10" x14ac:dyDescent="0.2">
      <c r="A447" t="s">
        <v>88</v>
      </c>
      <c r="B447" t="s">
        <v>167</v>
      </c>
      <c r="C447">
        <v>285628804</v>
      </c>
      <c r="D447" t="s">
        <v>988</v>
      </c>
      <c r="E447">
        <v>172125831</v>
      </c>
      <c r="F447" t="s">
        <v>583</v>
      </c>
      <c r="G447" t="s">
        <v>990</v>
      </c>
      <c r="H447">
        <v>3200</v>
      </c>
      <c r="I447">
        <v>35.75</v>
      </c>
      <c r="J447" t="s">
        <v>574</v>
      </c>
    </row>
    <row r="448" spans="1:10" x14ac:dyDescent="0.2">
      <c r="A448" t="s">
        <v>88</v>
      </c>
      <c r="B448" t="s">
        <v>167</v>
      </c>
      <c r="C448">
        <v>285628805</v>
      </c>
      <c r="D448" t="s">
        <v>988</v>
      </c>
      <c r="E448">
        <v>172125831</v>
      </c>
      <c r="F448" t="s">
        <v>587</v>
      </c>
      <c r="G448" t="s">
        <v>989</v>
      </c>
      <c r="H448">
        <v>3200</v>
      </c>
      <c r="I448">
        <v>35.75</v>
      </c>
      <c r="J448" t="s">
        <v>574</v>
      </c>
    </row>
    <row r="449" spans="1:8" x14ac:dyDescent="0.2">
      <c r="A449" t="s">
        <v>88</v>
      </c>
      <c r="B449" t="s">
        <v>376</v>
      </c>
      <c r="C449">
        <v>233883683</v>
      </c>
      <c r="D449" t="s">
        <v>399</v>
      </c>
      <c r="E449">
        <v>137335002</v>
      </c>
      <c r="F449" t="s">
        <v>175</v>
      </c>
      <c r="G449" t="s">
        <v>400</v>
      </c>
      <c r="H449">
        <v>650</v>
      </c>
    </row>
    <row r="450" spans="1:8" x14ac:dyDescent="0.2">
      <c r="A450" t="s">
        <v>88</v>
      </c>
      <c r="B450" t="s">
        <v>376</v>
      </c>
      <c r="C450">
        <v>294227267</v>
      </c>
      <c r="D450" t="s">
        <v>996</v>
      </c>
      <c r="E450">
        <v>177701786</v>
      </c>
      <c r="F450" t="s">
        <v>175</v>
      </c>
      <c r="G450" t="s">
        <v>997</v>
      </c>
      <c r="H450">
        <v>650</v>
      </c>
    </row>
    <row r="451" spans="1:8" x14ac:dyDescent="0.2">
      <c r="A451" t="s">
        <v>88</v>
      </c>
      <c r="B451" t="s">
        <v>376</v>
      </c>
      <c r="C451">
        <v>233883687</v>
      </c>
      <c r="D451" t="s">
        <v>405</v>
      </c>
      <c r="E451">
        <v>137335006</v>
      </c>
      <c r="F451" t="s">
        <v>175</v>
      </c>
      <c r="G451" t="s">
        <v>406</v>
      </c>
      <c r="H451">
        <v>650</v>
      </c>
    </row>
    <row r="452" spans="1:8" x14ac:dyDescent="0.2">
      <c r="A452" t="s">
        <v>88</v>
      </c>
      <c r="B452" t="s">
        <v>376</v>
      </c>
      <c r="C452">
        <v>233883686</v>
      </c>
      <c r="D452" t="s">
        <v>403</v>
      </c>
      <c r="E452">
        <v>137335005</v>
      </c>
      <c r="F452" t="s">
        <v>175</v>
      </c>
      <c r="G452" t="s">
        <v>404</v>
      </c>
      <c r="H452">
        <v>650</v>
      </c>
    </row>
    <row r="453" spans="1:8" x14ac:dyDescent="0.2">
      <c r="A453" t="s">
        <v>88</v>
      </c>
      <c r="B453" t="s">
        <v>376</v>
      </c>
      <c r="C453">
        <v>294227259</v>
      </c>
      <c r="D453" t="s">
        <v>998</v>
      </c>
      <c r="E453">
        <v>177701778</v>
      </c>
      <c r="F453" t="s">
        <v>175</v>
      </c>
      <c r="G453" t="s">
        <v>999</v>
      </c>
      <c r="H453">
        <v>650</v>
      </c>
    </row>
    <row r="454" spans="1:8" x14ac:dyDescent="0.2">
      <c r="A454" t="s">
        <v>88</v>
      </c>
      <c r="B454" t="s">
        <v>376</v>
      </c>
      <c r="C454">
        <v>233883684</v>
      </c>
      <c r="D454" t="s">
        <v>401</v>
      </c>
      <c r="E454">
        <v>137335004</v>
      </c>
      <c r="F454" t="s">
        <v>175</v>
      </c>
      <c r="G454" t="s">
        <v>402</v>
      </c>
      <c r="H454">
        <v>650</v>
      </c>
    </row>
    <row r="455" spans="1:8" x14ac:dyDescent="0.2">
      <c r="A455" t="s">
        <v>88</v>
      </c>
      <c r="B455" t="s">
        <v>376</v>
      </c>
      <c r="C455">
        <v>294227264</v>
      </c>
      <c r="D455" t="s">
        <v>994</v>
      </c>
      <c r="E455">
        <v>177701783</v>
      </c>
      <c r="F455" t="s">
        <v>175</v>
      </c>
      <c r="G455" t="s">
        <v>995</v>
      </c>
      <c r="H455">
        <v>650</v>
      </c>
    </row>
    <row r="456" spans="1:8" x14ac:dyDescent="0.2">
      <c r="A456" t="s">
        <v>88</v>
      </c>
      <c r="B456" t="s">
        <v>376</v>
      </c>
      <c r="C456">
        <v>233885208</v>
      </c>
      <c r="D456" t="s">
        <v>407</v>
      </c>
      <c r="E456">
        <v>137336407</v>
      </c>
      <c r="F456" t="s">
        <v>175</v>
      </c>
      <c r="G456" t="s">
        <v>408</v>
      </c>
      <c r="H456">
        <v>650</v>
      </c>
    </row>
    <row r="457" spans="1:8" x14ac:dyDescent="0.2">
      <c r="A457" t="s">
        <v>88</v>
      </c>
      <c r="B457" t="s">
        <v>173</v>
      </c>
      <c r="C457">
        <v>329682869</v>
      </c>
      <c r="D457" t="s">
        <v>1049</v>
      </c>
      <c r="E457">
        <v>205014182</v>
      </c>
      <c r="F457" t="s">
        <v>175</v>
      </c>
      <c r="G457" t="s">
        <v>1020</v>
      </c>
      <c r="H457" s="2">
        <v>441</v>
      </c>
    </row>
    <row r="458" spans="1:8" x14ac:dyDescent="0.2">
      <c r="H458" s="2"/>
    </row>
    <row r="459" spans="1:8" x14ac:dyDescent="0.2">
      <c r="H459" s="2"/>
    </row>
    <row r="460" spans="1:8" x14ac:dyDescent="0.2">
      <c r="H460" s="2"/>
    </row>
    <row r="461" spans="1:8" x14ac:dyDescent="0.2">
      <c r="H461" s="2"/>
    </row>
    <row r="462" spans="1:8" x14ac:dyDescent="0.2">
      <c r="H462" s="2"/>
    </row>
    <row r="463" spans="1:8" x14ac:dyDescent="0.2">
      <c r="H463" s="2"/>
    </row>
    <row r="464" spans="1:8" x14ac:dyDescent="0.2">
      <c r="H464" s="2"/>
    </row>
    <row r="465" spans="8:8" x14ac:dyDescent="0.2">
      <c r="H465" s="2"/>
    </row>
    <row r="466" spans="8:8" x14ac:dyDescent="0.2">
      <c r="H466" s="2"/>
    </row>
    <row r="467" spans="8:8" x14ac:dyDescent="0.2">
      <c r="H467" s="2"/>
    </row>
    <row r="468" spans="8:8" x14ac:dyDescent="0.2">
      <c r="H468" s="2"/>
    </row>
    <row r="469" spans="8:8" x14ac:dyDescent="0.2">
      <c r="H469" s="2"/>
    </row>
    <row r="470" spans="8:8" x14ac:dyDescent="0.2">
      <c r="H470" s="2"/>
    </row>
    <row r="471" spans="8:8" x14ac:dyDescent="0.2">
      <c r="H471" s="2"/>
    </row>
    <row r="472" spans="8:8" x14ac:dyDescent="0.2">
      <c r="H472" s="2"/>
    </row>
    <row r="473" spans="8:8" x14ac:dyDescent="0.2">
      <c r="H473" s="2"/>
    </row>
    <row r="474" spans="8:8" x14ac:dyDescent="0.2">
      <c r="H474" s="2"/>
    </row>
    <row r="475" spans="8:8" x14ac:dyDescent="0.2">
      <c r="H475" s="2"/>
    </row>
    <row r="476" spans="8:8" x14ac:dyDescent="0.2">
      <c r="H476" s="2"/>
    </row>
    <row r="477" spans="8:8" x14ac:dyDescent="0.2">
      <c r="H477" s="2"/>
    </row>
    <row r="478" spans="8:8" x14ac:dyDescent="0.2">
      <c r="H478" s="2"/>
    </row>
    <row r="479" spans="8:8" x14ac:dyDescent="0.2">
      <c r="H479" s="2"/>
    </row>
    <row r="480" spans="8:8" x14ac:dyDescent="0.2">
      <c r="H480" s="2"/>
    </row>
    <row r="481" spans="8:8" x14ac:dyDescent="0.2">
      <c r="H481" s="2"/>
    </row>
    <row r="482" spans="8:8" x14ac:dyDescent="0.2">
      <c r="H482" s="2"/>
    </row>
    <row r="483" spans="8:8" x14ac:dyDescent="0.2">
      <c r="H483" s="2"/>
    </row>
    <row r="484" spans="8:8" x14ac:dyDescent="0.2">
      <c r="H484" s="2"/>
    </row>
    <row r="485" spans="8:8" x14ac:dyDescent="0.2">
      <c r="H485" s="2"/>
    </row>
    <row r="486" spans="8:8" x14ac:dyDescent="0.2">
      <c r="H486" s="2"/>
    </row>
    <row r="487" spans="8:8" x14ac:dyDescent="0.2">
      <c r="H487" s="2"/>
    </row>
    <row r="488" spans="8:8" x14ac:dyDescent="0.2">
      <c r="H488" s="2"/>
    </row>
    <row r="489" spans="8:8" x14ac:dyDescent="0.2">
      <c r="H489" s="2"/>
    </row>
    <row r="490" spans="8:8" x14ac:dyDescent="0.2">
      <c r="H490" s="2"/>
    </row>
    <row r="491" spans="8:8" x14ac:dyDescent="0.2">
      <c r="H491" s="2"/>
    </row>
    <row r="492" spans="8:8" x14ac:dyDescent="0.2">
      <c r="H492" s="2"/>
    </row>
    <row r="493" spans="8:8" x14ac:dyDescent="0.2">
      <c r="H493" s="2"/>
    </row>
    <row r="494" spans="8:8" x14ac:dyDescent="0.2">
      <c r="H494" s="2"/>
    </row>
    <row r="495" spans="8:8" x14ac:dyDescent="0.2">
      <c r="H495" s="2"/>
    </row>
    <row r="496" spans="8:8" x14ac:dyDescent="0.2">
      <c r="H496" s="2"/>
    </row>
    <row r="497" spans="8:8" x14ac:dyDescent="0.2">
      <c r="H497" s="2"/>
    </row>
    <row r="498" spans="8:8" x14ac:dyDescent="0.2">
      <c r="H498" s="2"/>
    </row>
    <row r="499" spans="8:8" x14ac:dyDescent="0.2">
      <c r="H499" s="2"/>
    </row>
    <row r="500" spans="8:8" x14ac:dyDescent="0.2">
      <c r="H500" s="2"/>
    </row>
    <row r="501" spans="8:8" x14ac:dyDescent="0.2">
      <c r="H501" s="2"/>
    </row>
    <row r="502" spans="8:8" x14ac:dyDescent="0.2">
      <c r="H502" s="2"/>
    </row>
    <row r="503" spans="8:8" x14ac:dyDescent="0.2">
      <c r="H503" s="2"/>
    </row>
    <row r="504" spans="8:8" x14ac:dyDescent="0.2">
      <c r="H504" s="2"/>
    </row>
    <row r="505" spans="8:8" x14ac:dyDescent="0.2">
      <c r="H505" s="2"/>
    </row>
    <row r="506" spans="8:8" x14ac:dyDescent="0.2">
      <c r="H506" s="2"/>
    </row>
    <row r="507" spans="8:8" x14ac:dyDescent="0.2">
      <c r="H507" s="2"/>
    </row>
    <row r="508" spans="8:8" x14ac:dyDescent="0.2">
      <c r="H508" s="2"/>
    </row>
    <row r="509" spans="8:8" x14ac:dyDescent="0.2">
      <c r="H509" s="2"/>
    </row>
    <row r="510" spans="8:8" x14ac:dyDescent="0.2">
      <c r="H510" s="2"/>
    </row>
    <row r="511" spans="8:8" x14ac:dyDescent="0.2">
      <c r="H511" s="2"/>
    </row>
    <row r="512" spans="8:8" x14ac:dyDescent="0.2">
      <c r="H512" s="2"/>
    </row>
    <row r="513" spans="8:8" x14ac:dyDescent="0.2">
      <c r="H513" s="2"/>
    </row>
    <row r="514" spans="8:8" x14ac:dyDescent="0.2">
      <c r="H514" s="2"/>
    </row>
    <row r="515" spans="8:8" x14ac:dyDescent="0.2">
      <c r="H515" s="2"/>
    </row>
    <row r="516" spans="8:8" x14ac:dyDescent="0.2">
      <c r="H516" s="2"/>
    </row>
    <row r="517" spans="8:8" x14ac:dyDescent="0.2">
      <c r="H517" s="2"/>
    </row>
    <row r="518" spans="8:8" x14ac:dyDescent="0.2">
      <c r="H518" s="2"/>
    </row>
    <row r="519" spans="8:8" x14ac:dyDescent="0.2">
      <c r="H519" s="2"/>
    </row>
    <row r="520" spans="8:8" x14ac:dyDescent="0.2">
      <c r="H520" s="2"/>
    </row>
    <row r="521" spans="8:8" x14ac:dyDescent="0.2">
      <c r="H521" s="2"/>
    </row>
    <row r="522" spans="8:8" x14ac:dyDescent="0.2">
      <c r="H522" s="2"/>
    </row>
    <row r="523" spans="8:8" x14ac:dyDescent="0.2">
      <c r="H523" s="2"/>
    </row>
    <row r="524" spans="8:8" x14ac:dyDescent="0.2">
      <c r="H524" s="2"/>
    </row>
    <row r="525" spans="8:8" x14ac:dyDescent="0.2">
      <c r="H525" s="2"/>
    </row>
    <row r="526" spans="8:8" x14ac:dyDescent="0.2">
      <c r="H526" s="2"/>
    </row>
    <row r="527" spans="8:8" x14ac:dyDescent="0.2">
      <c r="H527" s="2"/>
    </row>
    <row r="528" spans="8:8" x14ac:dyDescent="0.2">
      <c r="H528" s="2"/>
    </row>
    <row r="529" spans="8:8" x14ac:dyDescent="0.2">
      <c r="H529" s="2"/>
    </row>
    <row r="530" spans="8:8" x14ac:dyDescent="0.2">
      <c r="H530" s="2"/>
    </row>
    <row r="531" spans="8:8" x14ac:dyDescent="0.2">
      <c r="H531" s="2"/>
    </row>
    <row r="532" spans="8:8" x14ac:dyDescent="0.2">
      <c r="H532" s="2"/>
    </row>
    <row r="533" spans="8:8" x14ac:dyDescent="0.2">
      <c r="H533" s="2"/>
    </row>
    <row r="534" spans="8:8" x14ac:dyDescent="0.2">
      <c r="H534" s="2"/>
    </row>
    <row r="535" spans="8:8" x14ac:dyDescent="0.2">
      <c r="H535" s="2"/>
    </row>
    <row r="536" spans="8:8" x14ac:dyDescent="0.2">
      <c r="H536" s="2"/>
    </row>
    <row r="537" spans="8:8" x14ac:dyDescent="0.2">
      <c r="H537" s="2"/>
    </row>
    <row r="538" spans="8:8" x14ac:dyDescent="0.2">
      <c r="H538" s="2"/>
    </row>
    <row r="539" spans="8:8" x14ac:dyDescent="0.2">
      <c r="H539" s="2"/>
    </row>
    <row r="540" spans="8:8" x14ac:dyDescent="0.2">
      <c r="H540" s="2"/>
    </row>
    <row r="541" spans="8:8" x14ac:dyDescent="0.2">
      <c r="H541" s="2"/>
    </row>
    <row r="542" spans="8:8" x14ac:dyDescent="0.2">
      <c r="H542" s="2"/>
    </row>
    <row r="543" spans="8:8" x14ac:dyDescent="0.2">
      <c r="H543" s="2"/>
    </row>
    <row r="544" spans="8:8" x14ac:dyDescent="0.2">
      <c r="H544" s="2"/>
    </row>
    <row r="545" spans="8:8" x14ac:dyDescent="0.2">
      <c r="H545" s="2"/>
    </row>
    <row r="546" spans="8:8" x14ac:dyDescent="0.2">
      <c r="H546" s="2"/>
    </row>
    <row r="547" spans="8:8" x14ac:dyDescent="0.2">
      <c r="H547" s="2"/>
    </row>
    <row r="548" spans="8:8" x14ac:dyDescent="0.2">
      <c r="H548" s="2"/>
    </row>
    <row r="549" spans="8:8" x14ac:dyDescent="0.2">
      <c r="H549" s="2"/>
    </row>
    <row r="550" spans="8:8" x14ac:dyDescent="0.2">
      <c r="H550" s="2"/>
    </row>
    <row r="551" spans="8:8" x14ac:dyDescent="0.2">
      <c r="H551" s="2"/>
    </row>
    <row r="552" spans="8:8" x14ac:dyDescent="0.2">
      <c r="H552" s="2"/>
    </row>
    <row r="553" spans="8:8" x14ac:dyDescent="0.2">
      <c r="H553" s="2"/>
    </row>
    <row r="554" spans="8:8" x14ac:dyDescent="0.2">
      <c r="H554" s="2"/>
    </row>
    <row r="555" spans="8:8" x14ac:dyDescent="0.2">
      <c r="H555" s="2"/>
    </row>
    <row r="556" spans="8:8" x14ac:dyDescent="0.2">
      <c r="H556" s="2"/>
    </row>
    <row r="557" spans="8:8" x14ac:dyDescent="0.2">
      <c r="H557" s="2"/>
    </row>
    <row r="558" spans="8:8" x14ac:dyDescent="0.2">
      <c r="H558" s="2"/>
    </row>
    <row r="559" spans="8:8" x14ac:dyDescent="0.2">
      <c r="H559" s="2"/>
    </row>
    <row r="560" spans="8:8" x14ac:dyDescent="0.2">
      <c r="H560" s="2"/>
    </row>
    <row r="561" spans="8:8" x14ac:dyDescent="0.2">
      <c r="H561" s="2"/>
    </row>
    <row r="562" spans="8:8" x14ac:dyDescent="0.2">
      <c r="H562" s="2"/>
    </row>
    <row r="563" spans="8:8" x14ac:dyDescent="0.2">
      <c r="H563" s="2"/>
    </row>
    <row r="564" spans="8:8" x14ac:dyDescent="0.2">
      <c r="H564" s="2"/>
    </row>
    <row r="565" spans="8:8" x14ac:dyDescent="0.2">
      <c r="H565" s="2"/>
    </row>
    <row r="566" spans="8:8" x14ac:dyDescent="0.2">
      <c r="H566" s="2"/>
    </row>
    <row r="567" spans="8:8" x14ac:dyDescent="0.2">
      <c r="H567" s="2"/>
    </row>
    <row r="568" spans="8:8" x14ac:dyDescent="0.2">
      <c r="H568" s="2"/>
    </row>
    <row r="569" spans="8:8" x14ac:dyDescent="0.2">
      <c r="H569" s="2"/>
    </row>
    <row r="570" spans="8:8" x14ac:dyDescent="0.2">
      <c r="H570" s="2"/>
    </row>
    <row r="571" spans="8:8" x14ac:dyDescent="0.2">
      <c r="H571" s="2"/>
    </row>
    <row r="572" spans="8:8" x14ac:dyDescent="0.2">
      <c r="H572" s="2"/>
    </row>
    <row r="573" spans="8:8" x14ac:dyDescent="0.2">
      <c r="H573" s="2"/>
    </row>
    <row r="574" spans="8:8" x14ac:dyDescent="0.2">
      <c r="H574" s="2"/>
    </row>
    <row r="575" spans="8:8" x14ac:dyDescent="0.2">
      <c r="H575" s="2"/>
    </row>
    <row r="576" spans="8:8" x14ac:dyDescent="0.2">
      <c r="H576" s="2"/>
    </row>
    <row r="577" spans="8:8" x14ac:dyDescent="0.2">
      <c r="H577" s="2"/>
    </row>
    <row r="578" spans="8:8" x14ac:dyDescent="0.2">
      <c r="H578" s="2"/>
    </row>
    <row r="579" spans="8:8" x14ac:dyDescent="0.2">
      <c r="H579" s="2"/>
    </row>
    <row r="580" spans="8:8" x14ac:dyDescent="0.2">
      <c r="H580" s="2"/>
    </row>
    <row r="581" spans="8:8" x14ac:dyDescent="0.2">
      <c r="H581" s="2"/>
    </row>
    <row r="582" spans="8:8" x14ac:dyDescent="0.2">
      <c r="H582" s="2"/>
    </row>
    <row r="583" spans="8:8" x14ac:dyDescent="0.2">
      <c r="H583" s="2"/>
    </row>
    <row r="584" spans="8:8" x14ac:dyDescent="0.2">
      <c r="H584" s="2"/>
    </row>
    <row r="585" spans="8:8" x14ac:dyDescent="0.2">
      <c r="H585" s="2"/>
    </row>
    <row r="586" spans="8:8" x14ac:dyDescent="0.2">
      <c r="H586" s="2"/>
    </row>
    <row r="587" spans="8:8" x14ac:dyDescent="0.2">
      <c r="H587" s="2"/>
    </row>
    <row r="588" spans="8:8" x14ac:dyDescent="0.2">
      <c r="H588" s="2"/>
    </row>
    <row r="589" spans="8:8" x14ac:dyDescent="0.2">
      <c r="H589" s="2"/>
    </row>
    <row r="590" spans="8:8" x14ac:dyDescent="0.2">
      <c r="H590" s="2"/>
    </row>
    <row r="591" spans="8:8" x14ac:dyDescent="0.2">
      <c r="H591" s="2"/>
    </row>
    <row r="592" spans="8:8" x14ac:dyDescent="0.2">
      <c r="H592" s="2"/>
    </row>
    <row r="593" spans="8:8" x14ac:dyDescent="0.2">
      <c r="H593" s="2"/>
    </row>
    <row r="594" spans="8:8" x14ac:dyDescent="0.2">
      <c r="H594" s="2"/>
    </row>
    <row r="595" spans="8:8" x14ac:dyDescent="0.2">
      <c r="H595" s="2"/>
    </row>
    <row r="596" spans="8:8" x14ac:dyDescent="0.2">
      <c r="H596" s="2"/>
    </row>
    <row r="597" spans="8:8" x14ac:dyDescent="0.2">
      <c r="H597" s="2"/>
    </row>
    <row r="598" spans="8:8" x14ac:dyDescent="0.2">
      <c r="H598" s="2"/>
    </row>
    <row r="599" spans="8:8" x14ac:dyDescent="0.2">
      <c r="H599" s="2"/>
    </row>
    <row r="600" spans="8:8" x14ac:dyDescent="0.2">
      <c r="H600" s="2"/>
    </row>
    <row r="601" spans="8:8" x14ac:dyDescent="0.2">
      <c r="H601" s="2"/>
    </row>
    <row r="602" spans="8:8" x14ac:dyDescent="0.2">
      <c r="H602" s="2"/>
    </row>
    <row r="603" spans="8:8" x14ac:dyDescent="0.2">
      <c r="H603" s="2"/>
    </row>
    <row r="604" spans="8:8" x14ac:dyDescent="0.2">
      <c r="H604" s="2"/>
    </row>
    <row r="605" spans="8:8" x14ac:dyDescent="0.2">
      <c r="H605" s="2"/>
    </row>
    <row r="606" spans="8:8" x14ac:dyDescent="0.2">
      <c r="H606" s="2"/>
    </row>
    <row r="607" spans="8:8" x14ac:dyDescent="0.2">
      <c r="H607" s="2"/>
    </row>
    <row r="608" spans="8:8" x14ac:dyDescent="0.2">
      <c r="H608" s="2"/>
    </row>
    <row r="609" spans="8:8" x14ac:dyDescent="0.2">
      <c r="H609" s="2"/>
    </row>
    <row r="610" spans="8:8" x14ac:dyDescent="0.2">
      <c r="H610" s="2"/>
    </row>
    <row r="611" spans="8:8" x14ac:dyDescent="0.2">
      <c r="H611" s="2"/>
    </row>
    <row r="612" spans="8:8" x14ac:dyDescent="0.2">
      <c r="H612" s="2"/>
    </row>
    <row r="613" spans="8:8" x14ac:dyDescent="0.2">
      <c r="H613" s="2"/>
    </row>
    <row r="614" spans="8:8" x14ac:dyDescent="0.2">
      <c r="H614" s="2"/>
    </row>
    <row r="615" spans="8:8" x14ac:dyDescent="0.2">
      <c r="H615" s="2"/>
    </row>
    <row r="616" spans="8:8" x14ac:dyDescent="0.2">
      <c r="H616" s="2"/>
    </row>
    <row r="617" spans="8:8" x14ac:dyDescent="0.2">
      <c r="H617" s="2"/>
    </row>
    <row r="618" spans="8:8" x14ac:dyDescent="0.2">
      <c r="H618" s="2"/>
    </row>
    <row r="619" spans="8:8" x14ac:dyDescent="0.2">
      <c r="H619" s="2"/>
    </row>
    <row r="620" spans="8:8" x14ac:dyDescent="0.2">
      <c r="H620" s="2"/>
    </row>
    <row r="621" spans="8:8" x14ac:dyDescent="0.2">
      <c r="H621" s="2"/>
    </row>
    <row r="622" spans="8:8" x14ac:dyDescent="0.2">
      <c r="H622" s="2"/>
    </row>
    <row r="623" spans="8:8" x14ac:dyDescent="0.2">
      <c r="H623" s="2"/>
    </row>
    <row r="624" spans="8:8" x14ac:dyDescent="0.2">
      <c r="H624" s="2"/>
    </row>
    <row r="625" spans="8:8" x14ac:dyDescent="0.2">
      <c r="H625" s="2"/>
    </row>
    <row r="626" spans="8:8" x14ac:dyDescent="0.2">
      <c r="H626" s="2"/>
    </row>
    <row r="627" spans="8:8" x14ac:dyDescent="0.2">
      <c r="H627" s="2"/>
    </row>
    <row r="628" spans="8:8" x14ac:dyDescent="0.2">
      <c r="H628" s="2"/>
    </row>
    <row r="629" spans="8:8" x14ac:dyDescent="0.2">
      <c r="H629" s="2"/>
    </row>
    <row r="630" spans="8:8" x14ac:dyDescent="0.2">
      <c r="H630" s="2"/>
    </row>
    <row r="631" spans="8:8" x14ac:dyDescent="0.2">
      <c r="H631" s="2"/>
    </row>
    <row r="632" spans="8:8" x14ac:dyDescent="0.2">
      <c r="H632" s="2"/>
    </row>
    <row r="633" spans="8:8" x14ac:dyDescent="0.2">
      <c r="H633" s="2"/>
    </row>
    <row r="634" spans="8:8" x14ac:dyDescent="0.2">
      <c r="H634" s="2"/>
    </row>
    <row r="635" spans="8:8" x14ac:dyDescent="0.2">
      <c r="H635" s="2"/>
    </row>
    <row r="636" spans="8:8" x14ac:dyDescent="0.2">
      <c r="H636" s="2"/>
    </row>
    <row r="637" spans="8:8" x14ac:dyDescent="0.2">
      <c r="H637" s="2"/>
    </row>
    <row r="638" spans="8:8" x14ac:dyDescent="0.2">
      <c r="H638" s="2"/>
    </row>
    <row r="639" spans="8:8" x14ac:dyDescent="0.2">
      <c r="H639" s="2"/>
    </row>
    <row r="640" spans="8:8" x14ac:dyDescent="0.2">
      <c r="H640" s="2"/>
    </row>
    <row r="641" spans="8:8" x14ac:dyDescent="0.2">
      <c r="H641" s="2"/>
    </row>
    <row r="642" spans="8:8" x14ac:dyDescent="0.2">
      <c r="H642" s="2"/>
    </row>
    <row r="643" spans="8:8" x14ac:dyDescent="0.2">
      <c r="H643" s="2"/>
    </row>
    <row r="644" spans="8:8" x14ac:dyDescent="0.2">
      <c r="H644" s="2"/>
    </row>
    <row r="645" spans="8:8" x14ac:dyDescent="0.2">
      <c r="H645" s="2"/>
    </row>
    <row r="646" spans="8:8" x14ac:dyDescent="0.2">
      <c r="H646" s="2"/>
    </row>
    <row r="647" spans="8:8" x14ac:dyDescent="0.2">
      <c r="H647" s="2"/>
    </row>
    <row r="648" spans="8:8" x14ac:dyDescent="0.2">
      <c r="H648" s="2"/>
    </row>
    <row r="649" spans="8:8" x14ac:dyDescent="0.2">
      <c r="H649" s="2"/>
    </row>
    <row r="650" spans="8:8" x14ac:dyDescent="0.2">
      <c r="H650" s="2"/>
    </row>
    <row r="651" spans="8:8" x14ac:dyDescent="0.2">
      <c r="H651" s="2"/>
    </row>
    <row r="652" spans="8:8" x14ac:dyDescent="0.2">
      <c r="H652" s="2"/>
    </row>
    <row r="653" spans="8:8" x14ac:dyDescent="0.2">
      <c r="H653" s="2"/>
    </row>
    <row r="654" spans="8:8" x14ac:dyDescent="0.2">
      <c r="H654" s="2"/>
    </row>
    <row r="655" spans="8:8" x14ac:dyDescent="0.2">
      <c r="H655" s="2"/>
    </row>
    <row r="656" spans="8:8" x14ac:dyDescent="0.2">
      <c r="H656" s="2"/>
    </row>
    <row r="657" spans="8:8" x14ac:dyDescent="0.2">
      <c r="H657" s="2"/>
    </row>
    <row r="658" spans="8:8" x14ac:dyDescent="0.2">
      <c r="H658" s="2"/>
    </row>
    <row r="659" spans="8:8" x14ac:dyDescent="0.2">
      <c r="H659" s="2"/>
    </row>
    <row r="660" spans="8:8" x14ac:dyDescent="0.2">
      <c r="H660" s="2"/>
    </row>
    <row r="661" spans="8:8" x14ac:dyDescent="0.2">
      <c r="H661" s="2"/>
    </row>
    <row r="662" spans="8:8" x14ac:dyDescent="0.2">
      <c r="H662" s="2"/>
    </row>
    <row r="663" spans="8:8" x14ac:dyDescent="0.2">
      <c r="H663" s="2"/>
    </row>
    <row r="664" spans="8:8" x14ac:dyDescent="0.2">
      <c r="H664" s="2"/>
    </row>
    <row r="665" spans="8:8" x14ac:dyDescent="0.2">
      <c r="H665" s="2"/>
    </row>
    <row r="666" spans="8:8" x14ac:dyDescent="0.2">
      <c r="H666" s="2"/>
    </row>
    <row r="667" spans="8:8" x14ac:dyDescent="0.2">
      <c r="H667" s="2"/>
    </row>
    <row r="668" spans="8:8" x14ac:dyDescent="0.2">
      <c r="H668" s="2"/>
    </row>
    <row r="669" spans="8:8" x14ac:dyDescent="0.2">
      <c r="H669" s="2"/>
    </row>
    <row r="670" spans="8:8" x14ac:dyDescent="0.2">
      <c r="H670" s="2"/>
    </row>
    <row r="671" spans="8:8" x14ac:dyDescent="0.2">
      <c r="H671" s="2"/>
    </row>
    <row r="672" spans="8:8" x14ac:dyDescent="0.2">
      <c r="H672" s="2"/>
    </row>
    <row r="673" spans="8:8" x14ac:dyDescent="0.2">
      <c r="H673" s="2"/>
    </row>
    <row r="674" spans="8:8" x14ac:dyDescent="0.2">
      <c r="H674" s="2"/>
    </row>
    <row r="675" spans="8:8" x14ac:dyDescent="0.2">
      <c r="H675" s="2"/>
    </row>
    <row r="676" spans="8:8" x14ac:dyDescent="0.2">
      <c r="H676" s="2"/>
    </row>
    <row r="677" spans="8:8" x14ac:dyDescent="0.2">
      <c r="H677" s="2"/>
    </row>
    <row r="678" spans="8:8" x14ac:dyDescent="0.2">
      <c r="H678" s="2"/>
    </row>
    <row r="679" spans="8:8" x14ac:dyDescent="0.2">
      <c r="H679" s="2"/>
    </row>
    <row r="680" spans="8:8" x14ac:dyDescent="0.2">
      <c r="H680" s="2"/>
    </row>
    <row r="681" spans="8:8" x14ac:dyDescent="0.2">
      <c r="H681" s="2"/>
    </row>
    <row r="682" spans="8:8" x14ac:dyDescent="0.2">
      <c r="H682" s="2"/>
    </row>
    <row r="683" spans="8:8" x14ac:dyDescent="0.2">
      <c r="H683" s="2"/>
    </row>
    <row r="684" spans="8:8" x14ac:dyDescent="0.2">
      <c r="H684" s="2"/>
    </row>
    <row r="685" spans="8:8" x14ac:dyDescent="0.2">
      <c r="H685" s="2"/>
    </row>
    <row r="686" spans="8:8" x14ac:dyDescent="0.2">
      <c r="H686" s="2"/>
    </row>
    <row r="687" spans="8:8" x14ac:dyDescent="0.2">
      <c r="H687" s="2"/>
    </row>
    <row r="688" spans="8:8" x14ac:dyDescent="0.2">
      <c r="H688" s="2"/>
    </row>
    <row r="689" spans="8:8" x14ac:dyDescent="0.2">
      <c r="H689" s="2"/>
    </row>
    <row r="690" spans="8:8" x14ac:dyDescent="0.2">
      <c r="H690" s="2"/>
    </row>
    <row r="691" spans="8:8" x14ac:dyDescent="0.2">
      <c r="H691" s="2"/>
    </row>
    <row r="692" spans="8:8" x14ac:dyDescent="0.2">
      <c r="H692" s="2"/>
    </row>
    <row r="693" spans="8:8" x14ac:dyDescent="0.2">
      <c r="H693" s="2"/>
    </row>
    <row r="694" spans="8:8" x14ac:dyDescent="0.2">
      <c r="H694" s="2"/>
    </row>
    <row r="695" spans="8:8" x14ac:dyDescent="0.2">
      <c r="H695" s="2"/>
    </row>
    <row r="696" spans="8:8" x14ac:dyDescent="0.2">
      <c r="H696" s="2"/>
    </row>
    <row r="697" spans="8:8" x14ac:dyDescent="0.2">
      <c r="H697" s="2"/>
    </row>
    <row r="698" spans="8:8" x14ac:dyDescent="0.2">
      <c r="H698" s="2"/>
    </row>
    <row r="699" spans="8:8" x14ac:dyDescent="0.2">
      <c r="H699" s="2"/>
    </row>
    <row r="700" spans="8:8" x14ac:dyDescent="0.2">
      <c r="H700" s="2"/>
    </row>
    <row r="701" spans="8:8" x14ac:dyDescent="0.2">
      <c r="H701" s="2"/>
    </row>
    <row r="702" spans="8:8" x14ac:dyDescent="0.2">
      <c r="H702" s="2"/>
    </row>
    <row r="703" spans="8:8" x14ac:dyDescent="0.2">
      <c r="H703" s="2"/>
    </row>
    <row r="704" spans="8:8" x14ac:dyDescent="0.2">
      <c r="H704" s="2"/>
    </row>
    <row r="705" spans="8:8" x14ac:dyDescent="0.2">
      <c r="H705" s="2"/>
    </row>
    <row r="706" spans="8:8" x14ac:dyDescent="0.2">
      <c r="H706" s="2"/>
    </row>
    <row r="707" spans="8:8" x14ac:dyDescent="0.2">
      <c r="H707" s="2"/>
    </row>
    <row r="708" spans="8:8" x14ac:dyDescent="0.2">
      <c r="H708" s="2"/>
    </row>
    <row r="709" spans="8:8" x14ac:dyDescent="0.2">
      <c r="H709" s="2"/>
    </row>
    <row r="710" spans="8:8" x14ac:dyDescent="0.2">
      <c r="H710" s="2"/>
    </row>
    <row r="711" spans="8:8" x14ac:dyDescent="0.2">
      <c r="H711" s="2"/>
    </row>
    <row r="712" spans="8:8" x14ac:dyDescent="0.2">
      <c r="H712" s="2"/>
    </row>
    <row r="713" spans="8:8" x14ac:dyDescent="0.2">
      <c r="H713" s="2"/>
    </row>
    <row r="714" spans="8:8" x14ac:dyDescent="0.2">
      <c r="H714" s="2"/>
    </row>
    <row r="715" spans="8:8" x14ac:dyDescent="0.2">
      <c r="H715" s="2"/>
    </row>
    <row r="716" spans="8:8" x14ac:dyDescent="0.2">
      <c r="H716" s="2"/>
    </row>
    <row r="717" spans="8:8" x14ac:dyDescent="0.2">
      <c r="H717" s="2"/>
    </row>
    <row r="718" spans="8:8" x14ac:dyDescent="0.2">
      <c r="H718" s="2"/>
    </row>
    <row r="719" spans="8:8" x14ac:dyDescent="0.2">
      <c r="H719" s="2"/>
    </row>
    <row r="720" spans="8:8" x14ac:dyDescent="0.2">
      <c r="H720" s="2"/>
    </row>
    <row r="721" spans="8:8" x14ac:dyDescent="0.2">
      <c r="H721" s="2"/>
    </row>
    <row r="722" spans="8:8" x14ac:dyDescent="0.2">
      <c r="H722" s="2"/>
    </row>
    <row r="723" spans="8:8" x14ac:dyDescent="0.2">
      <c r="H723" s="2"/>
    </row>
    <row r="724" spans="8:8" x14ac:dyDescent="0.2">
      <c r="H724" s="2"/>
    </row>
    <row r="725" spans="8:8" x14ac:dyDescent="0.2">
      <c r="H725" s="2"/>
    </row>
    <row r="726" spans="8:8" x14ac:dyDescent="0.2">
      <c r="H726" s="2"/>
    </row>
    <row r="727" spans="8:8" x14ac:dyDescent="0.2">
      <c r="H727" s="2"/>
    </row>
    <row r="728" spans="8:8" x14ac:dyDescent="0.2">
      <c r="H728" s="2"/>
    </row>
    <row r="729" spans="8:8" x14ac:dyDescent="0.2">
      <c r="H729" s="2"/>
    </row>
    <row r="730" spans="8:8" x14ac:dyDescent="0.2">
      <c r="H730" s="2"/>
    </row>
    <row r="731" spans="8:8" x14ac:dyDescent="0.2">
      <c r="H731" s="2"/>
    </row>
    <row r="732" spans="8:8" x14ac:dyDescent="0.2">
      <c r="H732" s="2"/>
    </row>
    <row r="733" spans="8:8" x14ac:dyDescent="0.2">
      <c r="H733" s="2"/>
    </row>
    <row r="734" spans="8:8" x14ac:dyDescent="0.2">
      <c r="H734" s="2"/>
    </row>
    <row r="735" spans="8:8" x14ac:dyDescent="0.2">
      <c r="H735" s="2"/>
    </row>
    <row r="736" spans="8:8" x14ac:dyDescent="0.2">
      <c r="H736" s="2"/>
    </row>
    <row r="737" spans="8:8" x14ac:dyDescent="0.2">
      <c r="H737" s="2"/>
    </row>
    <row r="738" spans="8:8" x14ac:dyDescent="0.2">
      <c r="H738" s="2"/>
    </row>
    <row r="739" spans="8:8" x14ac:dyDescent="0.2">
      <c r="H739" s="2"/>
    </row>
    <row r="740" spans="8:8" x14ac:dyDescent="0.2">
      <c r="H740" s="2"/>
    </row>
    <row r="741" spans="8:8" x14ac:dyDescent="0.2">
      <c r="H741" s="2"/>
    </row>
    <row r="742" spans="8:8" x14ac:dyDescent="0.2">
      <c r="H742" s="2"/>
    </row>
    <row r="743" spans="8:8" x14ac:dyDescent="0.2">
      <c r="H743" s="2"/>
    </row>
    <row r="744" spans="8:8" x14ac:dyDescent="0.2">
      <c r="H744" s="2"/>
    </row>
    <row r="745" spans="8:8" x14ac:dyDescent="0.2">
      <c r="H745" s="2"/>
    </row>
    <row r="746" spans="8:8" x14ac:dyDescent="0.2">
      <c r="H746" s="2"/>
    </row>
    <row r="747" spans="8:8" x14ac:dyDescent="0.2">
      <c r="H747" s="2"/>
    </row>
    <row r="748" spans="8:8" x14ac:dyDescent="0.2">
      <c r="H748" s="2"/>
    </row>
    <row r="749" spans="8:8" x14ac:dyDescent="0.2">
      <c r="H749" s="2"/>
    </row>
    <row r="750" spans="8:8" x14ac:dyDescent="0.2">
      <c r="H750" s="2"/>
    </row>
    <row r="751" spans="8:8" x14ac:dyDescent="0.2">
      <c r="H751" s="2"/>
    </row>
    <row r="752" spans="8:8" x14ac:dyDescent="0.2">
      <c r="H752" s="2"/>
    </row>
    <row r="753" spans="8:8" x14ac:dyDescent="0.2">
      <c r="H753" s="2"/>
    </row>
    <row r="754" spans="8:8" x14ac:dyDescent="0.2">
      <c r="H754" s="2"/>
    </row>
    <row r="755" spans="8:8" x14ac:dyDescent="0.2">
      <c r="H755" s="2"/>
    </row>
    <row r="756" spans="8:8" x14ac:dyDescent="0.2">
      <c r="H756" s="2"/>
    </row>
    <row r="757" spans="8:8" x14ac:dyDescent="0.2">
      <c r="H757" s="2"/>
    </row>
    <row r="758" spans="8:8" x14ac:dyDescent="0.2">
      <c r="H758" s="2"/>
    </row>
    <row r="759" spans="8:8" x14ac:dyDescent="0.2">
      <c r="H759" s="2"/>
    </row>
    <row r="760" spans="8:8" x14ac:dyDescent="0.2">
      <c r="H760" s="2"/>
    </row>
    <row r="761" spans="8:8" x14ac:dyDescent="0.2">
      <c r="H761" s="2"/>
    </row>
    <row r="762" spans="8:8" x14ac:dyDescent="0.2">
      <c r="H762" s="2"/>
    </row>
    <row r="763" spans="8:8" x14ac:dyDescent="0.2">
      <c r="H763" s="2"/>
    </row>
    <row r="764" spans="8:8" x14ac:dyDescent="0.2">
      <c r="H764" s="2"/>
    </row>
    <row r="765" spans="8:8" x14ac:dyDescent="0.2">
      <c r="H765" s="2"/>
    </row>
    <row r="766" spans="8:8" x14ac:dyDescent="0.2">
      <c r="H766" s="2"/>
    </row>
    <row r="767" spans="8:8" x14ac:dyDescent="0.2">
      <c r="H767" s="2"/>
    </row>
    <row r="768" spans="8:8" x14ac:dyDescent="0.2">
      <c r="H768" s="2"/>
    </row>
    <row r="769" spans="8:8" x14ac:dyDescent="0.2">
      <c r="H769" s="2"/>
    </row>
    <row r="770" spans="8:8" x14ac:dyDescent="0.2">
      <c r="H770" s="2"/>
    </row>
    <row r="771" spans="8:8" x14ac:dyDescent="0.2">
      <c r="H771" s="2"/>
    </row>
    <row r="772" spans="8:8" x14ac:dyDescent="0.2">
      <c r="H772" s="2"/>
    </row>
    <row r="773" spans="8:8" x14ac:dyDescent="0.2">
      <c r="H773" s="2"/>
    </row>
    <row r="774" spans="8:8" x14ac:dyDescent="0.2">
      <c r="H774" s="2"/>
    </row>
    <row r="775" spans="8:8" x14ac:dyDescent="0.2">
      <c r="H775" s="2"/>
    </row>
    <row r="776" spans="8:8" x14ac:dyDescent="0.2">
      <c r="H776" s="2"/>
    </row>
    <row r="777" spans="8:8" x14ac:dyDescent="0.2">
      <c r="H777" s="2"/>
    </row>
    <row r="778" spans="8:8" x14ac:dyDescent="0.2">
      <c r="H778" s="2"/>
    </row>
    <row r="779" spans="8:8" x14ac:dyDescent="0.2">
      <c r="H779" s="2"/>
    </row>
    <row r="780" spans="8:8" x14ac:dyDescent="0.2">
      <c r="H780" s="2"/>
    </row>
    <row r="781" spans="8:8" x14ac:dyDescent="0.2">
      <c r="H781" s="2"/>
    </row>
    <row r="782" spans="8:8" x14ac:dyDescent="0.2">
      <c r="H782" s="2"/>
    </row>
    <row r="783" spans="8:8" x14ac:dyDescent="0.2">
      <c r="H783" s="2"/>
    </row>
    <row r="784" spans="8:8" x14ac:dyDescent="0.2">
      <c r="H784" s="2"/>
    </row>
    <row r="785" spans="8:8" x14ac:dyDescent="0.2">
      <c r="H785" s="2"/>
    </row>
    <row r="786" spans="8:8" x14ac:dyDescent="0.2">
      <c r="H786" s="2"/>
    </row>
    <row r="787" spans="8:8" x14ac:dyDescent="0.2">
      <c r="H787" s="2"/>
    </row>
    <row r="788" spans="8:8" x14ac:dyDescent="0.2">
      <c r="H788" s="2"/>
    </row>
    <row r="789" spans="8:8" x14ac:dyDescent="0.2">
      <c r="H789" s="2"/>
    </row>
    <row r="790" spans="8:8" x14ac:dyDescent="0.2">
      <c r="H790" s="2"/>
    </row>
    <row r="791" spans="8:8" x14ac:dyDescent="0.2">
      <c r="H791" s="2"/>
    </row>
    <row r="792" spans="8:8" x14ac:dyDescent="0.2">
      <c r="H792" s="2"/>
    </row>
    <row r="793" spans="8:8" x14ac:dyDescent="0.2">
      <c r="H793" s="2"/>
    </row>
    <row r="794" spans="8:8" x14ac:dyDescent="0.2">
      <c r="H794" s="2"/>
    </row>
    <row r="795" spans="8:8" x14ac:dyDescent="0.2">
      <c r="H795" s="2"/>
    </row>
    <row r="796" spans="8:8" x14ac:dyDescent="0.2">
      <c r="H796" s="2"/>
    </row>
    <row r="797" spans="8:8" x14ac:dyDescent="0.2">
      <c r="H797" s="2"/>
    </row>
    <row r="798" spans="8:8" x14ac:dyDescent="0.2">
      <c r="H798" s="2"/>
    </row>
    <row r="799" spans="8:8" x14ac:dyDescent="0.2">
      <c r="H799" s="2"/>
    </row>
    <row r="800" spans="8:8" x14ac:dyDescent="0.2">
      <c r="H800" s="2"/>
    </row>
    <row r="801" spans="8:8" x14ac:dyDescent="0.2">
      <c r="H801" s="2"/>
    </row>
    <row r="802" spans="8:8" x14ac:dyDescent="0.2">
      <c r="H802" s="2"/>
    </row>
    <row r="803" spans="8:8" x14ac:dyDescent="0.2">
      <c r="H803" s="2"/>
    </row>
    <row r="804" spans="8:8" x14ac:dyDescent="0.2">
      <c r="H804" s="2"/>
    </row>
    <row r="805" spans="8:8" x14ac:dyDescent="0.2">
      <c r="H805" s="2"/>
    </row>
    <row r="806" spans="8:8" x14ac:dyDescent="0.2">
      <c r="H806" s="2"/>
    </row>
    <row r="807" spans="8:8" x14ac:dyDescent="0.2">
      <c r="H807" s="2"/>
    </row>
    <row r="808" spans="8:8" x14ac:dyDescent="0.2">
      <c r="H808" s="2"/>
    </row>
    <row r="809" spans="8:8" x14ac:dyDescent="0.2">
      <c r="H809" s="2"/>
    </row>
    <row r="810" spans="8:8" x14ac:dyDescent="0.2">
      <c r="H810" s="2"/>
    </row>
    <row r="811" spans="8:8" x14ac:dyDescent="0.2">
      <c r="H811" s="2"/>
    </row>
    <row r="812" spans="8:8" x14ac:dyDescent="0.2">
      <c r="H812" s="2"/>
    </row>
    <row r="813" spans="8:8" x14ac:dyDescent="0.2">
      <c r="H813" s="2"/>
    </row>
    <row r="814" spans="8:8" x14ac:dyDescent="0.2">
      <c r="H814" s="2"/>
    </row>
    <row r="815" spans="8:8" x14ac:dyDescent="0.2">
      <c r="H815" s="2"/>
    </row>
    <row r="816" spans="8:8" x14ac:dyDescent="0.2">
      <c r="H816" s="2"/>
    </row>
    <row r="817" spans="8:8" x14ac:dyDescent="0.2">
      <c r="H817" s="2"/>
    </row>
    <row r="818" spans="8:8" x14ac:dyDescent="0.2">
      <c r="H818" s="2"/>
    </row>
    <row r="819" spans="8:8" x14ac:dyDescent="0.2">
      <c r="H819" s="2"/>
    </row>
    <row r="820" spans="8:8" x14ac:dyDescent="0.2">
      <c r="H820" s="2"/>
    </row>
    <row r="821" spans="8:8" x14ac:dyDescent="0.2">
      <c r="H821" s="2"/>
    </row>
    <row r="822" spans="8:8" x14ac:dyDescent="0.2">
      <c r="H822" s="2"/>
    </row>
    <row r="823" spans="8:8" x14ac:dyDescent="0.2">
      <c r="H823" s="2"/>
    </row>
    <row r="824" spans="8:8" x14ac:dyDescent="0.2">
      <c r="H824" s="2"/>
    </row>
    <row r="825" spans="8:8" x14ac:dyDescent="0.2">
      <c r="H825" s="2"/>
    </row>
    <row r="826" spans="8:8" x14ac:dyDescent="0.2">
      <c r="H826" s="2"/>
    </row>
    <row r="827" spans="8:8" x14ac:dyDescent="0.2">
      <c r="H827" s="2"/>
    </row>
    <row r="828" spans="8:8" x14ac:dyDescent="0.2">
      <c r="H828" s="2"/>
    </row>
    <row r="829" spans="8:8" x14ac:dyDescent="0.2">
      <c r="H829" s="2"/>
    </row>
    <row r="830" spans="8:8" x14ac:dyDescent="0.2">
      <c r="H830" s="2"/>
    </row>
    <row r="831" spans="8:8" x14ac:dyDescent="0.2">
      <c r="H831" s="2"/>
    </row>
    <row r="832" spans="8:8" x14ac:dyDescent="0.2">
      <c r="H832" s="2"/>
    </row>
    <row r="833" spans="8:8" x14ac:dyDescent="0.2">
      <c r="H833" s="2"/>
    </row>
    <row r="834" spans="8:8" x14ac:dyDescent="0.2">
      <c r="H834" s="2"/>
    </row>
    <row r="835" spans="8:8" x14ac:dyDescent="0.2">
      <c r="H835" s="2"/>
    </row>
    <row r="836" spans="8:8" x14ac:dyDescent="0.2">
      <c r="H836" s="2"/>
    </row>
    <row r="837" spans="8:8" x14ac:dyDescent="0.2">
      <c r="H837" s="2"/>
    </row>
    <row r="838" spans="8:8" x14ac:dyDescent="0.2">
      <c r="H838" s="2"/>
    </row>
    <row r="839" spans="8:8" x14ac:dyDescent="0.2">
      <c r="H839" s="2"/>
    </row>
    <row r="840" spans="8:8" x14ac:dyDescent="0.2">
      <c r="H840" s="2"/>
    </row>
    <row r="841" spans="8:8" x14ac:dyDescent="0.2">
      <c r="H841" s="2"/>
    </row>
    <row r="842" spans="8:8" x14ac:dyDescent="0.2">
      <c r="H842" s="2"/>
    </row>
    <row r="843" spans="8:8" x14ac:dyDescent="0.2">
      <c r="H843" s="2"/>
    </row>
    <row r="844" spans="8:8" x14ac:dyDescent="0.2">
      <c r="H844" s="2"/>
    </row>
    <row r="845" spans="8:8" x14ac:dyDescent="0.2">
      <c r="H845" s="2"/>
    </row>
    <row r="846" spans="8:8" x14ac:dyDescent="0.2">
      <c r="H846" s="2"/>
    </row>
    <row r="847" spans="8:8" x14ac:dyDescent="0.2">
      <c r="H847" s="2"/>
    </row>
    <row r="848" spans="8:8" x14ac:dyDescent="0.2">
      <c r="H848" s="2"/>
    </row>
    <row r="849" spans="8:8" x14ac:dyDescent="0.2">
      <c r="H849" s="2"/>
    </row>
    <row r="850" spans="8:8" x14ac:dyDescent="0.2">
      <c r="H850" s="2"/>
    </row>
    <row r="851" spans="8:8" x14ac:dyDescent="0.2">
      <c r="H851" s="2"/>
    </row>
    <row r="852" spans="8:8" x14ac:dyDescent="0.2">
      <c r="H852" s="2"/>
    </row>
    <row r="853" spans="8:8" x14ac:dyDescent="0.2">
      <c r="H853" s="2"/>
    </row>
    <row r="854" spans="8:8" x14ac:dyDescent="0.2">
      <c r="H854" s="2"/>
    </row>
    <row r="855" spans="8:8" x14ac:dyDescent="0.2">
      <c r="H855" s="2"/>
    </row>
    <row r="856" spans="8:8" x14ac:dyDescent="0.2">
      <c r="H856" s="2"/>
    </row>
    <row r="857" spans="8:8" x14ac:dyDescent="0.2">
      <c r="H857" s="2"/>
    </row>
    <row r="858" spans="8:8" x14ac:dyDescent="0.2">
      <c r="H858" s="2"/>
    </row>
    <row r="859" spans="8:8" x14ac:dyDescent="0.2">
      <c r="H859" s="2"/>
    </row>
    <row r="860" spans="8:8" x14ac:dyDescent="0.2">
      <c r="H860" s="2"/>
    </row>
    <row r="861" spans="8:8" x14ac:dyDescent="0.2">
      <c r="H861" s="2"/>
    </row>
    <row r="862" spans="8:8" x14ac:dyDescent="0.2">
      <c r="H862" s="2"/>
    </row>
    <row r="863" spans="8:8" x14ac:dyDescent="0.2">
      <c r="H863" s="2"/>
    </row>
    <row r="864" spans="8:8" x14ac:dyDescent="0.2">
      <c r="H864" s="2"/>
    </row>
    <row r="865" spans="8:8" x14ac:dyDescent="0.2">
      <c r="H865" s="2"/>
    </row>
    <row r="866" spans="8:8" x14ac:dyDescent="0.2">
      <c r="H866" s="2"/>
    </row>
    <row r="867" spans="8:8" x14ac:dyDescent="0.2">
      <c r="H867" s="2"/>
    </row>
    <row r="868" spans="8:8" x14ac:dyDescent="0.2">
      <c r="H868" s="2"/>
    </row>
    <row r="869" spans="8:8" x14ac:dyDescent="0.2">
      <c r="H869" s="2"/>
    </row>
    <row r="870" spans="8:8" x14ac:dyDescent="0.2">
      <c r="H870" s="2"/>
    </row>
    <row r="871" spans="8:8" x14ac:dyDescent="0.2">
      <c r="H871" s="2"/>
    </row>
    <row r="872" spans="8:8" x14ac:dyDescent="0.2">
      <c r="H872" s="2"/>
    </row>
    <row r="873" spans="8:8" x14ac:dyDescent="0.2">
      <c r="H873" s="2"/>
    </row>
    <row r="874" spans="8:8" x14ac:dyDescent="0.2">
      <c r="H874" s="2"/>
    </row>
    <row r="875" spans="8:8" x14ac:dyDescent="0.2">
      <c r="H875" s="2"/>
    </row>
    <row r="876" spans="8:8" x14ac:dyDescent="0.2">
      <c r="H876" s="2"/>
    </row>
    <row r="877" spans="8:8" x14ac:dyDescent="0.2">
      <c r="H877" s="2"/>
    </row>
    <row r="878" spans="8:8" x14ac:dyDescent="0.2">
      <c r="H878" s="2"/>
    </row>
    <row r="879" spans="8:8" x14ac:dyDescent="0.2">
      <c r="H879" s="2"/>
    </row>
    <row r="880" spans="8:8" x14ac:dyDescent="0.2">
      <c r="H880" s="2"/>
    </row>
    <row r="881" spans="8:8" x14ac:dyDescent="0.2">
      <c r="H881" s="2"/>
    </row>
    <row r="882" spans="8:8" x14ac:dyDescent="0.2">
      <c r="H882" s="2"/>
    </row>
    <row r="883" spans="8:8" x14ac:dyDescent="0.2">
      <c r="H883" s="2"/>
    </row>
    <row r="884" spans="8:8" x14ac:dyDescent="0.2">
      <c r="H884" s="2"/>
    </row>
    <row r="885" spans="8:8" x14ac:dyDescent="0.2">
      <c r="H885" s="2"/>
    </row>
    <row r="886" spans="8:8" x14ac:dyDescent="0.2">
      <c r="H886" s="2"/>
    </row>
    <row r="887" spans="8:8" x14ac:dyDescent="0.2">
      <c r="H887" s="2"/>
    </row>
    <row r="888" spans="8:8" x14ac:dyDescent="0.2">
      <c r="H888" s="2"/>
    </row>
    <row r="889" spans="8:8" x14ac:dyDescent="0.2">
      <c r="H889" s="2"/>
    </row>
    <row r="890" spans="8:8" x14ac:dyDescent="0.2">
      <c r="H890" s="2"/>
    </row>
    <row r="891" spans="8:8" x14ac:dyDescent="0.2">
      <c r="H891" s="2"/>
    </row>
    <row r="892" spans="8:8" x14ac:dyDescent="0.2">
      <c r="H892" s="2"/>
    </row>
    <row r="893" spans="8:8" x14ac:dyDescent="0.2">
      <c r="H893" s="2"/>
    </row>
    <row r="894" spans="8:8" x14ac:dyDescent="0.2">
      <c r="H894" s="2"/>
    </row>
    <row r="895" spans="8:8" x14ac:dyDescent="0.2">
      <c r="H895" s="2"/>
    </row>
    <row r="896" spans="8:8" x14ac:dyDescent="0.2">
      <c r="H896" s="2"/>
    </row>
    <row r="897" spans="8:8" x14ac:dyDescent="0.2">
      <c r="H897" s="2"/>
    </row>
    <row r="898" spans="8:8" x14ac:dyDescent="0.2">
      <c r="H898" s="2"/>
    </row>
    <row r="899" spans="8:8" x14ac:dyDescent="0.2">
      <c r="H899" s="2"/>
    </row>
    <row r="900" spans="8:8" x14ac:dyDescent="0.2">
      <c r="H900" s="2"/>
    </row>
    <row r="901" spans="8:8" x14ac:dyDescent="0.2">
      <c r="H901" s="2"/>
    </row>
    <row r="902" spans="8:8" x14ac:dyDescent="0.2">
      <c r="H902" s="2"/>
    </row>
    <row r="903" spans="8:8" x14ac:dyDescent="0.2">
      <c r="H903" s="2"/>
    </row>
    <row r="904" spans="8:8" x14ac:dyDescent="0.2">
      <c r="H904" s="2"/>
    </row>
    <row r="905" spans="8:8" x14ac:dyDescent="0.2">
      <c r="H905" s="2"/>
    </row>
    <row r="906" spans="8:8" x14ac:dyDescent="0.2">
      <c r="H906" s="2"/>
    </row>
    <row r="907" spans="8:8" x14ac:dyDescent="0.2">
      <c r="H907" s="2"/>
    </row>
    <row r="908" spans="8:8" x14ac:dyDescent="0.2">
      <c r="H908" s="2"/>
    </row>
    <row r="909" spans="8:8" x14ac:dyDescent="0.2">
      <c r="H909" s="2"/>
    </row>
    <row r="910" spans="8:8" x14ac:dyDescent="0.2">
      <c r="H910" s="2"/>
    </row>
    <row r="911" spans="8:8" x14ac:dyDescent="0.2">
      <c r="H911" s="2"/>
    </row>
    <row r="912" spans="8:8" x14ac:dyDescent="0.2">
      <c r="H912" s="2"/>
    </row>
    <row r="913" spans="8:8" x14ac:dyDescent="0.2">
      <c r="H913" s="2"/>
    </row>
    <row r="914" spans="8:8" x14ac:dyDescent="0.2">
      <c r="H914" s="2"/>
    </row>
    <row r="915" spans="8:8" x14ac:dyDescent="0.2">
      <c r="H915" s="2"/>
    </row>
    <row r="916" spans="8:8" x14ac:dyDescent="0.2">
      <c r="H916" s="2"/>
    </row>
    <row r="917" spans="8:8" x14ac:dyDescent="0.2">
      <c r="H917" s="2"/>
    </row>
    <row r="918" spans="8:8" x14ac:dyDescent="0.2">
      <c r="H918" s="2"/>
    </row>
    <row r="919" spans="8:8" x14ac:dyDescent="0.2">
      <c r="H919" s="2"/>
    </row>
    <row r="920" spans="8:8" x14ac:dyDescent="0.2">
      <c r="H920" s="2"/>
    </row>
    <row r="921" spans="8:8" x14ac:dyDescent="0.2">
      <c r="H921" s="2"/>
    </row>
    <row r="922" spans="8:8" x14ac:dyDescent="0.2">
      <c r="H922" s="2"/>
    </row>
    <row r="923" spans="8:8" x14ac:dyDescent="0.2">
      <c r="H923" s="2"/>
    </row>
    <row r="924" spans="8:8" x14ac:dyDescent="0.2">
      <c r="H924" s="2"/>
    </row>
    <row r="925" spans="8:8" x14ac:dyDescent="0.2">
      <c r="H925" s="2"/>
    </row>
    <row r="926" spans="8:8" x14ac:dyDescent="0.2">
      <c r="H926" s="2"/>
    </row>
    <row r="927" spans="8:8" x14ac:dyDescent="0.2">
      <c r="H927" s="2"/>
    </row>
    <row r="928" spans="8:8" x14ac:dyDescent="0.2">
      <c r="H928" s="2"/>
    </row>
    <row r="929" spans="8:8" x14ac:dyDescent="0.2">
      <c r="H929" s="2"/>
    </row>
    <row r="930" spans="8:8" x14ac:dyDescent="0.2">
      <c r="H930" s="2"/>
    </row>
    <row r="931" spans="8:8" x14ac:dyDescent="0.2">
      <c r="H931" s="2"/>
    </row>
    <row r="932" spans="8:8" x14ac:dyDescent="0.2">
      <c r="H932" s="2"/>
    </row>
    <row r="933" spans="8:8" x14ac:dyDescent="0.2">
      <c r="H933" s="2"/>
    </row>
    <row r="934" spans="8:8" x14ac:dyDescent="0.2">
      <c r="H934" s="2"/>
    </row>
    <row r="935" spans="8:8" x14ac:dyDescent="0.2">
      <c r="H935" s="2"/>
    </row>
    <row r="936" spans="8:8" x14ac:dyDescent="0.2">
      <c r="H936" s="2"/>
    </row>
    <row r="937" spans="8:8" x14ac:dyDescent="0.2">
      <c r="H937" s="2"/>
    </row>
    <row r="938" spans="8:8" x14ac:dyDescent="0.2">
      <c r="H938" s="2"/>
    </row>
    <row r="939" spans="8:8" x14ac:dyDescent="0.2">
      <c r="H939" s="2"/>
    </row>
    <row r="940" spans="8:8" x14ac:dyDescent="0.2">
      <c r="H940" s="2"/>
    </row>
    <row r="941" spans="8:8" x14ac:dyDescent="0.2">
      <c r="H941" s="2"/>
    </row>
    <row r="942" spans="8:8" x14ac:dyDescent="0.2">
      <c r="H942" s="2"/>
    </row>
    <row r="943" spans="8:8" x14ac:dyDescent="0.2">
      <c r="H943" s="2"/>
    </row>
    <row r="944" spans="8:8" x14ac:dyDescent="0.2">
      <c r="H944" s="2"/>
    </row>
    <row r="945" spans="8:8" x14ac:dyDescent="0.2">
      <c r="H945" s="2"/>
    </row>
    <row r="946" spans="8:8" x14ac:dyDescent="0.2">
      <c r="H946" s="2"/>
    </row>
    <row r="947" spans="8:8" x14ac:dyDescent="0.2">
      <c r="H947" s="2"/>
    </row>
    <row r="948" spans="8:8" x14ac:dyDescent="0.2">
      <c r="H948" s="2"/>
    </row>
    <row r="949" spans="8:8" x14ac:dyDescent="0.2">
      <c r="H949" s="2"/>
    </row>
    <row r="950" spans="8:8" x14ac:dyDescent="0.2">
      <c r="H950" s="2"/>
    </row>
    <row r="951" spans="8:8" x14ac:dyDescent="0.2">
      <c r="H951" s="2"/>
    </row>
    <row r="952" spans="8:8" x14ac:dyDescent="0.2">
      <c r="H952" s="2"/>
    </row>
    <row r="953" spans="8:8" x14ac:dyDescent="0.2">
      <c r="H953" s="2"/>
    </row>
    <row r="954" spans="8:8" x14ac:dyDescent="0.2">
      <c r="H954" s="2"/>
    </row>
    <row r="955" spans="8:8" x14ac:dyDescent="0.2">
      <c r="H955" s="2"/>
    </row>
    <row r="956" spans="8:8" x14ac:dyDescent="0.2">
      <c r="H956" s="2"/>
    </row>
    <row r="957" spans="8:8" x14ac:dyDescent="0.2">
      <c r="H957" s="2"/>
    </row>
    <row r="958" spans="8:8" x14ac:dyDescent="0.2">
      <c r="H958" s="2"/>
    </row>
    <row r="959" spans="8:8" x14ac:dyDescent="0.2">
      <c r="H959" s="2"/>
    </row>
    <row r="960" spans="8:8" x14ac:dyDescent="0.2">
      <c r="H960" s="2"/>
    </row>
    <row r="961" spans="8:8" x14ac:dyDescent="0.2">
      <c r="H961" s="2"/>
    </row>
    <row r="962" spans="8:8" x14ac:dyDescent="0.2">
      <c r="H962" s="2"/>
    </row>
    <row r="963" spans="8:8" x14ac:dyDescent="0.2">
      <c r="H963" s="2"/>
    </row>
    <row r="964" spans="8:8" x14ac:dyDescent="0.2">
      <c r="H964" s="2"/>
    </row>
    <row r="965" spans="8:8" x14ac:dyDescent="0.2">
      <c r="H965" s="2"/>
    </row>
    <row r="966" spans="8:8" x14ac:dyDescent="0.2">
      <c r="H966" s="2"/>
    </row>
    <row r="967" spans="8:8" x14ac:dyDescent="0.2">
      <c r="H967" s="2"/>
    </row>
    <row r="968" spans="8:8" x14ac:dyDescent="0.2">
      <c r="H968" s="2"/>
    </row>
    <row r="969" spans="8:8" x14ac:dyDescent="0.2">
      <c r="H969" s="2"/>
    </row>
    <row r="970" spans="8:8" x14ac:dyDescent="0.2">
      <c r="H970" s="2"/>
    </row>
    <row r="971" spans="8:8" x14ac:dyDescent="0.2">
      <c r="H971" s="2"/>
    </row>
    <row r="972" spans="8:8" x14ac:dyDescent="0.2">
      <c r="H972" s="2"/>
    </row>
    <row r="973" spans="8:8" x14ac:dyDescent="0.2">
      <c r="H973" s="2"/>
    </row>
    <row r="974" spans="8:8" x14ac:dyDescent="0.2">
      <c r="H974" s="2"/>
    </row>
    <row r="975" spans="8:8" x14ac:dyDescent="0.2">
      <c r="H975" s="2"/>
    </row>
    <row r="976" spans="8:8" x14ac:dyDescent="0.2">
      <c r="H976" s="2"/>
    </row>
    <row r="977" spans="8:8" x14ac:dyDescent="0.2">
      <c r="H977" s="2"/>
    </row>
    <row r="978" spans="8:8" x14ac:dyDescent="0.2">
      <c r="H978" s="2"/>
    </row>
    <row r="979" spans="8:8" x14ac:dyDescent="0.2">
      <c r="H979" s="2"/>
    </row>
    <row r="980" spans="8:8" x14ac:dyDescent="0.2">
      <c r="H980" s="2"/>
    </row>
    <row r="981" spans="8:8" x14ac:dyDescent="0.2">
      <c r="H981" s="2"/>
    </row>
    <row r="982" spans="8:8" x14ac:dyDescent="0.2">
      <c r="H982" s="2"/>
    </row>
    <row r="983" spans="8:8" x14ac:dyDescent="0.2">
      <c r="H983" s="2"/>
    </row>
    <row r="984" spans="8:8" x14ac:dyDescent="0.2">
      <c r="H984" s="2"/>
    </row>
    <row r="985" spans="8:8" x14ac:dyDescent="0.2">
      <c r="H985" s="2"/>
    </row>
    <row r="986" spans="8:8" x14ac:dyDescent="0.2">
      <c r="H986" s="2"/>
    </row>
    <row r="987" spans="8:8" x14ac:dyDescent="0.2">
      <c r="H987" s="2"/>
    </row>
    <row r="988" spans="8:8" x14ac:dyDescent="0.2">
      <c r="H988" s="2"/>
    </row>
    <row r="989" spans="8:8" x14ac:dyDescent="0.2">
      <c r="H989" s="2"/>
    </row>
    <row r="990" spans="8:8" x14ac:dyDescent="0.2">
      <c r="H990" s="2"/>
    </row>
    <row r="991" spans="8:8" x14ac:dyDescent="0.2">
      <c r="H991" s="2"/>
    </row>
    <row r="992" spans="8:8" x14ac:dyDescent="0.2">
      <c r="H992" s="2"/>
    </row>
    <row r="993" spans="8:8" x14ac:dyDescent="0.2">
      <c r="H993" s="2"/>
    </row>
    <row r="994" spans="8:8" x14ac:dyDescent="0.2">
      <c r="H994" s="2"/>
    </row>
    <row r="995" spans="8:8" x14ac:dyDescent="0.2">
      <c r="H995" s="2"/>
    </row>
    <row r="996" spans="8:8" x14ac:dyDescent="0.2">
      <c r="H996" s="2"/>
    </row>
    <row r="997" spans="8:8" x14ac:dyDescent="0.2">
      <c r="H997" s="2"/>
    </row>
    <row r="998" spans="8:8" x14ac:dyDescent="0.2">
      <c r="H998" s="2"/>
    </row>
    <row r="999" spans="8:8" x14ac:dyDescent="0.2">
      <c r="H999" s="2"/>
    </row>
    <row r="1000" spans="8:8" x14ac:dyDescent="0.2">
      <c r="H1000" s="2"/>
    </row>
    <row r="1001" spans="8:8" x14ac:dyDescent="0.2">
      <c r="H1001" s="2"/>
    </row>
    <row r="1002" spans="8:8" x14ac:dyDescent="0.2">
      <c r="H1002" s="2"/>
    </row>
    <row r="1003" spans="8:8" x14ac:dyDescent="0.2">
      <c r="H1003" s="2"/>
    </row>
    <row r="1004" spans="8:8" x14ac:dyDescent="0.2">
      <c r="H1004" s="2"/>
    </row>
    <row r="1005" spans="8:8" x14ac:dyDescent="0.2">
      <c r="H1005" s="2"/>
    </row>
    <row r="1006" spans="8:8" x14ac:dyDescent="0.2">
      <c r="H1006" s="2"/>
    </row>
    <row r="1007" spans="8:8" x14ac:dyDescent="0.2">
      <c r="H1007" s="2"/>
    </row>
    <row r="1008" spans="8:8" x14ac:dyDescent="0.2">
      <c r="H1008" s="2"/>
    </row>
    <row r="1009" spans="8:8" x14ac:dyDescent="0.2">
      <c r="H1009" s="2"/>
    </row>
    <row r="1010" spans="8:8" x14ac:dyDescent="0.2">
      <c r="H1010" s="2"/>
    </row>
    <row r="1011" spans="8:8" x14ac:dyDescent="0.2">
      <c r="H1011" s="2"/>
    </row>
    <row r="1012" spans="8:8" x14ac:dyDescent="0.2">
      <c r="H1012" s="2"/>
    </row>
    <row r="1013" spans="8:8" x14ac:dyDescent="0.2">
      <c r="H1013" s="2"/>
    </row>
    <row r="1014" spans="8:8" x14ac:dyDescent="0.2">
      <c r="H1014" s="2"/>
    </row>
    <row r="1015" spans="8:8" x14ac:dyDescent="0.2">
      <c r="H1015" s="2"/>
    </row>
    <row r="1016" spans="8:8" x14ac:dyDescent="0.2">
      <c r="H1016" s="2"/>
    </row>
    <row r="1017" spans="8:8" x14ac:dyDescent="0.2">
      <c r="H1017" s="2"/>
    </row>
    <row r="1018" spans="8:8" x14ac:dyDescent="0.2">
      <c r="H1018" s="2"/>
    </row>
    <row r="1019" spans="8:8" x14ac:dyDescent="0.2">
      <c r="H1019" s="2"/>
    </row>
    <row r="1020" spans="8:8" x14ac:dyDescent="0.2">
      <c r="H1020" s="2"/>
    </row>
    <row r="1021" spans="8:8" x14ac:dyDescent="0.2">
      <c r="H1021" s="2"/>
    </row>
    <row r="1022" spans="8:8" x14ac:dyDescent="0.2">
      <c r="H1022" s="2"/>
    </row>
    <row r="1023" spans="8:8" x14ac:dyDescent="0.2">
      <c r="H1023" s="2"/>
    </row>
    <row r="1024" spans="8:8" x14ac:dyDescent="0.2">
      <c r="H1024" s="2"/>
    </row>
    <row r="1025" spans="8:8" x14ac:dyDescent="0.2">
      <c r="H1025" s="2"/>
    </row>
    <row r="1026" spans="8:8" x14ac:dyDescent="0.2">
      <c r="H1026" s="2"/>
    </row>
    <row r="1027" spans="8:8" x14ac:dyDescent="0.2">
      <c r="H1027" s="2"/>
    </row>
    <row r="1028" spans="8:8" x14ac:dyDescent="0.2">
      <c r="H1028" s="2"/>
    </row>
    <row r="1029" spans="8:8" x14ac:dyDescent="0.2">
      <c r="H1029" s="2"/>
    </row>
    <row r="1030" spans="8:8" x14ac:dyDescent="0.2">
      <c r="H1030" s="2"/>
    </row>
    <row r="1031" spans="8:8" x14ac:dyDescent="0.2">
      <c r="H1031" s="2"/>
    </row>
    <row r="1032" spans="8:8" x14ac:dyDescent="0.2">
      <c r="H1032" s="2"/>
    </row>
    <row r="1033" spans="8:8" x14ac:dyDescent="0.2">
      <c r="H1033" s="2"/>
    </row>
    <row r="1034" spans="8:8" x14ac:dyDescent="0.2">
      <c r="H1034" s="2"/>
    </row>
    <row r="1035" spans="8:8" x14ac:dyDescent="0.2">
      <c r="H1035" s="2"/>
    </row>
    <row r="1036" spans="8:8" x14ac:dyDescent="0.2">
      <c r="H1036" s="2"/>
    </row>
    <row r="1037" spans="8:8" x14ac:dyDescent="0.2">
      <c r="H1037" s="2"/>
    </row>
    <row r="1038" spans="8:8" x14ac:dyDescent="0.2">
      <c r="H1038" s="2"/>
    </row>
    <row r="1039" spans="8:8" x14ac:dyDescent="0.2">
      <c r="H1039" s="2"/>
    </row>
    <row r="1040" spans="8:8" x14ac:dyDescent="0.2">
      <c r="H1040" s="2"/>
    </row>
    <row r="1041" spans="8:8" x14ac:dyDescent="0.2">
      <c r="H1041" s="2"/>
    </row>
    <row r="1042" spans="8:8" x14ac:dyDescent="0.2">
      <c r="H1042" s="2"/>
    </row>
    <row r="1043" spans="8:8" x14ac:dyDescent="0.2">
      <c r="H1043" s="2"/>
    </row>
    <row r="1044" spans="8:8" x14ac:dyDescent="0.2">
      <c r="H1044" s="2"/>
    </row>
    <row r="1045" spans="8:8" x14ac:dyDescent="0.2">
      <c r="H1045" s="2"/>
    </row>
    <row r="1046" spans="8:8" x14ac:dyDescent="0.2">
      <c r="H1046" s="2"/>
    </row>
    <row r="1047" spans="8:8" x14ac:dyDescent="0.2">
      <c r="H1047" s="2"/>
    </row>
    <row r="1048" spans="8:8" x14ac:dyDescent="0.2">
      <c r="H1048" s="2"/>
    </row>
    <row r="1049" spans="8:8" x14ac:dyDescent="0.2">
      <c r="H1049" s="2"/>
    </row>
    <row r="1050" spans="8:8" x14ac:dyDescent="0.2">
      <c r="H1050" s="2"/>
    </row>
    <row r="1051" spans="8:8" x14ac:dyDescent="0.2">
      <c r="H1051" s="2"/>
    </row>
    <row r="1052" spans="8:8" x14ac:dyDescent="0.2">
      <c r="H1052" s="2"/>
    </row>
    <row r="1053" spans="8:8" x14ac:dyDescent="0.2">
      <c r="H1053" s="2"/>
    </row>
    <row r="1054" spans="8:8" x14ac:dyDescent="0.2">
      <c r="H1054" s="2"/>
    </row>
    <row r="1055" spans="8:8" x14ac:dyDescent="0.2">
      <c r="H1055" s="2"/>
    </row>
    <row r="1056" spans="8:8" x14ac:dyDescent="0.2">
      <c r="H1056" s="2"/>
    </row>
    <row r="1057" spans="8:8" x14ac:dyDescent="0.2">
      <c r="H1057" s="2"/>
    </row>
    <row r="1058" spans="8:8" x14ac:dyDescent="0.2">
      <c r="H1058" s="2"/>
    </row>
    <row r="1059" spans="8:8" x14ac:dyDescent="0.2">
      <c r="H1059" s="2"/>
    </row>
    <row r="1060" spans="8:8" x14ac:dyDescent="0.2">
      <c r="H1060" s="2"/>
    </row>
    <row r="1061" spans="8:8" x14ac:dyDescent="0.2">
      <c r="H1061" s="2"/>
    </row>
    <row r="1062" spans="8:8" x14ac:dyDescent="0.2">
      <c r="H1062" s="2"/>
    </row>
    <row r="1063" spans="8:8" x14ac:dyDescent="0.2">
      <c r="H1063" s="2"/>
    </row>
    <row r="1064" spans="8:8" x14ac:dyDescent="0.2">
      <c r="H1064" s="2"/>
    </row>
    <row r="1065" spans="8:8" x14ac:dyDescent="0.2">
      <c r="H1065" s="2"/>
    </row>
    <row r="1066" spans="8:8" x14ac:dyDescent="0.2">
      <c r="H1066" s="2"/>
    </row>
    <row r="1067" spans="8:8" x14ac:dyDescent="0.2">
      <c r="H1067" s="2"/>
    </row>
    <row r="1068" spans="8:8" x14ac:dyDescent="0.2">
      <c r="H1068" s="2"/>
    </row>
    <row r="1069" spans="8:8" x14ac:dyDescent="0.2">
      <c r="H1069" s="2"/>
    </row>
    <row r="1070" spans="8:8" x14ac:dyDescent="0.2">
      <c r="H1070" s="2"/>
    </row>
    <row r="1071" spans="8:8" x14ac:dyDescent="0.2">
      <c r="H1071" s="2"/>
    </row>
    <row r="1072" spans="8:8" x14ac:dyDescent="0.2">
      <c r="H1072" s="2"/>
    </row>
    <row r="1073" spans="8:8" x14ac:dyDescent="0.2">
      <c r="H1073" s="2"/>
    </row>
    <row r="1074" spans="8:8" x14ac:dyDescent="0.2">
      <c r="H1074" s="2"/>
    </row>
    <row r="1075" spans="8:8" x14ac:dyDescent="0.2">
      <c r="H1075" s="2"/>
    </row>
    <row r="1076" spans="8:8" x14ac:dyDescent="0.2">
      <c r="H1076" s="2"/>
    </row>
    <row r="1077" spans="8:8" x14ac:dyDescent="0.2">
      <c r="H1077" s="2"/>
    </row>
    <row r="1078" spans="8:8" x14ac:dyDescent="0.2">
      <c r="H1078" s="2"/>
    </row>
    <row r="1079" spans="8:8" x14ac:dyDescent="0.2">
      <c r="H1079" s="2"/>
    </row>
    <row r="1080" spans="8:8" x14ac:dyDescent="0.2">
      <c r="H1080" s="2"/>
    </row>
    <row r="1081" spans="8:8" x14ac:dyDescent="0.2">
      <c r="H1081" s="2"/>
    </row>
    <row r="1082" spans="8:8" x14ac:dyDescent="0.2">
      <c r="H1082" s="2"/>
    </row>
    <row r="1083" spans="8:8" x14ac:dyDescent="0.2">
      <c r="H1083" s="2"/>
    </row>
    <row r="1084" spans="8:8" x14ac:dyDescent="0.2">
      <c r="H1084" s="2"/>
    </row>
    <row r="1085" spans="8:8" x14ac:dyDescent="0.2">
      <c r="H1085" s="2"/>
    </row>
    <row r="1086" spans="8:8" x14ac:dyDescent="0.2">
      <c r="H1086" s="2"/>
    </row>
    <row r="1087" spans="8:8" x14ac:dyDescent="0.2">
      <c r="H1087" s="2"/>
    </row>
    <row r="1088" spans="8:8" x14ac:dyDescent="0.2">
      <c r="H1088" s="2"/>
    </row>
    <row r="1089" spans="8:8" x14ac:dyDescent="0.2">
      <c r="H1089" s="2"/>
    </row>
    <row r="1090" spans="8:8" x14ac:dyDescent="0.2">
      <c r="H1090" s="2"/>
    </row>
    <row r="1091" spans="8:8" x14ac:dyDescent="0.2">
      <c r="H1091" s="2"/>
    </row>
    <row r="1092" spans="8:8" x14ac:dyDescent="0.2">
      <c r="H1092" s="2"/>
    </row>
    <row r="1093" spans="8:8" x14ac:dyDescent="0.2">
      <c r="H1093" s="2"/>
    </row>
    <row r="1094" spans="8:8" x14ac:dyDescent="0.2">
      <c r="H1094" s="2"/>
    </row>
    <row r="1095" spans="8:8" x14ac:dyDescent="0.2">
      <c r="H1095" s="2"/>
    </row>
    <row r="1096" spans="8:8" x14ac:dyDescent="0.2">
      <c r="H1096" s="2"/>
    </row>
    <row r="1097" spans="8:8" x14ac:dyDescent="0.2">
      <c r="H1097" s="2"/>
    </row>
    <row r="1098" spans="8:8" x14ac:dyDescent="0.2">
      <c r="H1098" s="2"/>
    </row>
    <row r="1099" spans="8:8" x14ac:dyDescent="0.2">
      <c r="H1099" s="2"/>
    </row>
    <row r="1100" spans="8:8" x14ac:dyDescent="0.2">
      <c r="H1100" s="2"/>
    </row>
    <row r="1101" spans="8:8" x14ac:dyDescent="0.2">
      <c r="H1101" s="2"/>
    </row>
    <row r="1102" spans="8:8" x14ac:dyDescent="0.2">
      <c r="H1102" s="2"/>
    </row>
    <row r="1103" spans="8:8" x14ac:dyDescent="0.2">
      <c r="H1103" s="2"/>
    </row>
    <row r="1104" spans="8:8" x14ac:dyDescent="0.2">
      <c r="H1104" s="2"/>
    </row>
    <row r="1105" spans="8:8" x14ac:dyDescent="0.2">
      <c r="H1105" s="2"/>
    </row>
    <row r="1106" spans="8:8" x14ac:dyDescent="0.2">
      <c r="H1106" s="2"/>
    </row>
    <row r="1107" spans="8:8" x14ac:dyDescent="0.2">
      <c r="H1107" s="2"/>
    </row>
    <row r="1108" spans="8:8" x14ac:dyDescent="0.2">
      <c r="H1108" s="2"/>
    </row>
    <row r="1109" spans="8:8" x14ac:dyDescent="0.2">
      <c r="H1109" s="2"/>
    </row>
    <row r="1110" spans="8:8" x14ac:dyDescent="0.2">
      <c r="H1110" s="2"/>
    </row>
    <row r="1111" spans="8:8" x14ac:dyDescent="0.2">
      <c r="H1111" s="2"/>
    </row>
    <row r="1112" spans="8:8" x14ac:dyDescent="0.2">
      <c r="H1112" s="2"/>
    </row>
    <row r="1113" spans="8:8" x14ac:dyDescent="0.2">
      <c r="H1113" s="2"/>
    </row>
    <row r="1114" spans="8:8" x14ac:dyDescent="0.2">
      <c r="H1114" s="2"/>
    </row>
    <row r="1115" spans="8:8" x14ac:dyDescent="0.2">
      <c r="H1115" s="2"/>
    </row>
    <row r="1116" spans="8:8" x14ac:dyDescent="0.2">
      <c r="H1116" s="2"/>
    </row>
    <row r="1117" spans="8:8" x14ac:dyDescent="0.2">
      <c r="H1117" s="2"/>
    </row>
    <row r="1118" spans="8:8" x14ac:dyDescent="0.2">
      <c r="H1118" s="2"/>
    </row>
    <row r="1119" spans="8:8" x14ac:dyDescent="0.2">
      <c r="H1119" s="2"/>
    </row>
    <row r="1120" spans="8:8" x14ac:dyDescent="0.2">
      <c r="H1120" s="2"/>
    </row>
    <row r="1121" spans="8:8" x14ac:dyDescent="0.2">
      <c r="H1121" s="2"/>
    </row>
    <row r="1122" spans="8:8" x14ac:dyDescent="0.2">
      <c r="H1122" s="2"/>
    </row>
    <row r="1123" spans="8:8" x14ac:dyDescent="0.2">
      <c r="H1123" s="2"/>
    </row>
    <row r="1124" spans="8:8" x14ac:dyDescent="0.2">
      <c r="H1124" s="2"/>
    </row>
    <row r="1125" spans="8:8" x14ac:dyDescent="0.2">
      <c r="H1125" s="2"/>
    </row>
    <row r="1126" spans="8:8" x14ac:dyDescent="0.2">
      <c r="H1126" s="2"/>
    </row>
    <row r="1127" spans="8:8" x14ac:dyDescent="0.2">
      <c r="H1127" s="2"/>
    </row>
    <row r="1128" spans="8:8" x14ac:dyDescent="0.2">
      <c r="H1128" s="2"/>
    </row>
    <row r="1129" spans="8:8" x14ac:dyDescent="0.2">
      <c r="H1129" s="2"/>
    </row>
    <row r="1130" spans="8:8" x14ac:dyDescent="0.2">
      <c r="H1130" s="2"/>
    </row>
    <row r="1131" spans="8:8" x14ac:dyDescent="0.2">
      <c r="H1131" s="2"/>
    </row>
    <row r="1132" spans="8:8" x14ac:dyDescent="0.2">
      <c r="H1132" s="2"/>
    </row>
    <row r="1133" spans="8:8" x14ac:dyDescent="0.2">
      <c r="H1133" s="2"/>
    </row>
    <row r="1134" spans="8:8" x14ac:dyDescent="0.2">
      <c r="H1134" s="2"/>
    </row>
    <row r="1135" spans="8:8" x14ac:dyDescent="0.2">
      <c r="H1135" s="2"/>
    </row>
    <row r="1136" spans="8:8" x14ac:dyDescent="0.2">
      <c r="H1136" s="2"/>
    </row>
    <row r="1137" spans="8:8" x14ac:dyDescent="0.2">
      <c r="H1137" s="2"/>
    </row>
    <row r="1138" spans="8:8" x14ac:dyDescent="0.2">
      <c r="H1138" s="2"/>
    </row>
    <row r="1139" spans="8:8" x14ac:dyDescent="0.2">
      <c r="H1139" s="2"/>
    </row>
    <row r="1140" spans="8:8" x14ac:dyDescent="0.2">
      <c r="H1140" s="2"/>
    </row>
    <row r="1141" spans="8:8" x14ac:dyDescent="0.2">
      <c r="H1141" s="2"/>
    </row>
    <row r="1142" spans="8:8" x14ac:dyDescent="0.2">
      <c r="H1142" s="2"/>
    </row>
    <row r="1143" spans="8:8" x14ac:dyDescent="0.2">
      <c r="H1143" s="2"/>
    </row>
    <row r="1144" spans="8:8" x14ac:dyDescent="0.2">
      <c r="H1144" s="2"/>
    </row>
    <row r="1145" spans="8:8" x14ac:dyDescent="0.2">
      <c r="H1145" s="2"/>
    </row>
    <row r="1146" spans="8:8" x14ac:dyDescent="0.2">
      <c r="H1146" s="2"/>
    </row>
    <row r="1147" spans="8:8" x14ac:dyDescent="0.2">
      <c r="H1147" s="2"/>
    </row>
    <row r="1148" spans="8:8" x14ac:dyDescent="0.2">
      <c r="H1148" s="2"/>
    </row>
    <row r="1149" spans="8:8" x14ac:dyDescent="0.2">
      <c r="H1149" s="2"/>
    </row>
    <row r="1150" spans="8:8" x14ac:dyDescent="0.2">
      <c r="H1150" s="2"/>
    </row>
    <row r="1151" spans="8:8" x14ac:dyDescent="0.2">
      <c r="H1151" s="2"/>
    </row>
    <row r="1152" spans="8:8" x14ac:dyDescent="0.2">
      <c r="H1152" s="2"/>
    </row>
    <row r="1153" spans="8:8" x14ac:dyDescent="0.2">
      <c r="H1153" s="2"/>
    </row>
    <row r="1154" spans="8:8" x14ac:dyDescent="0.2">
      <c r="H1154" s="2"/>
    </row>
    <row r="1155" spans="8:8" x14ac:dyDescent="0.2">
      <c r="H1155" s="2"/>
    </row>
    <row r="1156" spans="8:8" x14ac:dyDescent="0.2">
      <c r="H1156" s="2"/>
    </row>
    <row r="1157" spans="8:8" x14ac:dyDescent="0.2">
      <c r="H1157" s="2"/>
    </row>
    <row r="1158" spans="8:8" x14ac:dyDescent="0.2">
      <c r="H1158" s="2"/>
    </row>
    <row r="1159" spans="8:8" x14ac:dyDescent="0.2">
      <c r="H1159" s="2"/>
    </row>
    <row r="1160" spans="8:8" x14ac:dyDescent="0.2">
      <c r="H1160" s="2"/>
    </row>
    <row r="1161" spans="8:8" x14ac:dyDescent="0.2">
      <c r="H1161" s="2"/>
    </row>
    <row r="1162" spans="8:8" x14ac:dyDescent="0.2">
      <c r="H1162" s="2"/>
    </row>
    <row r="1163" spans="8:8" x14ac:dyDescent="0.2">
      <c r="H1163" s="2"/>
    </row>
    <row r="1164" spans="8:8" x14ac:dyDescent="0.2">
      <c r="H1164" s="2"/>
    </row>
    <row r="1165" spans="8:8" x14ac:dyDescent="0.2">
      <c r="H1165" s="2"/>
    </row>
    <row r="1166" spans="8:8" x14ac:dyDescent="0.2">
      <c r="H1166" s="2"/>
    </row>
    <row r="1167" spans="8:8" x14ac:dyDescent="0.2">
      <c r="H1167" s="2"/>
    </row>
    <row r="1168" spans="8:8" x14ac:dyDescent="0.2">
      <c r="H1168" s="2"/>
    </row>
    <row r="1169" spans="8:8" x14ac:dyDescent="0.2">
      <c r="H1169" s="2"/>
    </row>
    <row r="1170" spans="8:8" x14ac:dyDescent="0.2">
      <c r="H1170" s="2"/>
    </row>
    <row r="1171" spans="8:8" x14ac:dyDescent="0.2">
      <c r="H1171" s="2"/>
    </row>
    <row r="1172" spans="8:8" x14ac:dyDescent="0.2">
      <c r="H1172" s="2"/>
    </row>
    <row r="1173" spans="8:8" x14ac:dyDescent="0.2">
      <c r="H1173" s="2"/>
    </row>
    <row r="1174" spans="8:8" x14ac:dyDescent="0.2">
      <c r="H1174" s="2"/>
    </row>
    <row r="1175" spans="8:8" x14ac:dyDescent="0.2">
      <c r="H1175" s="2"/>
    </row>
    <row r="1176" spans="8:8" x14ac:dyDescent="0.2">
      <c r="H1176" s="2"/>
    </row>
    <row r="1177" spans="8:8" x14ac:dyDescent="0.2">
      <c r="H1177" s="2"/>
    </row>
    <row r="1178" spans="8:8" x14ac:dyDescent="0.2">
      <c r="H1178" s="2"/>
    </row>
    <row r="1179" spans="8:8" x14ac:dyDescent="0.2">
      <c r="H1179" s="2"/>
    </row>
    <row r="1180" spans="8:8" x14ac:dyDescent="0.2">
      <c r="H1180" s="2"/>
    </row>
    <row r="1181" spans="8:8" x14ac:dyDescent="0.2">
      <c r="H1181" s="2"/>
    </row>
    <row r="1182" spans="8:8" x14ac:dyDescent="0.2">
      <c r="H1182" s="2"/>
    </row>
    <row r="1183" spans="8:8" x14ac:dyDescent="0.2">
      <c r="H1183" s="2"/>
    </row>
    <row r="1184" spans="8:8" x14ac:dyDescent="0.2">
      <c r="H1184" s="2"/>
    </row>
    <row r="1185" spans="8:8" x14ac:dyDescent="0.2">
      <c r="H1185" s="2"/>
    </row>
    <row r="1186" spans="8:8" x14ac:dyDescent="0.2">
      <c r="H1186" s="2"/>
    </row>
    <row r="1187" spans="8:8" x14ac:dyDescent="0.2">
      <c r="H1187" s="2"/>
    </row>
    <row r="1188" spans="8:8" x14ac:dyDescent="0.2">
      <c r="H1188" s="2"/>
    </row>
    <row r="1189" spans="8:8" x14ac:dyDescent="0.2">
      <c r="H1189" s="2"/>
    </row>
    <row r="1190" spans="8:8" x14ac:dyDescent="0.2">
      <c r="H1190" s="2"/>
    </row>
    <row r="1191" spans="8:8" x14ac:dyDescent="0.2">
      <c r="H1191" s="2"/>
    </row>
    <row r="1192" spans="8:8" x14ac:dyDescent="0.2">
      <c r="H1192" s="2"/>
    </row>
    <row r="1193" spans="8:8" x14ac:dyDescent="0.2">
      <c r="H1193" s="2"/>
    </row>
    <row r="1194" spans="8:8" x14ac:dyDescent="0.2">
      <c r="H1194" s="2"/>
    </row>
    <row r="1195" spans="8:8" x14ac:dyDescent="0.2">
      <c r="H1195" s="2"/>
    </row>
    <row r="1196" spans="8:8" x14ac:dyDescent="0.2">
      <c r="H1196" s="2"/>
    </row>
    <row r="1197" spans="8:8" x14ac:dyDescent="0.2">
      <c r="H1197" s="2"/>
    </row>
    <row r="1198" spans="8:8" x14ac:dyDescent="0.2">
      <c r="H1198" s="2"/>
    </row>
    <row r="1199" spans="8:8" x14ac:dyDescent="0.2">
      <c r="H1199" s="2"/>
    </row>
    <row r="1200" spans="8:8" x14ac:dyDescent="0.2">
      <c r="H1200" s="2"/>
    </row>
    <row r="1201" spans="8:8" x14ac:dyDescent="0.2">
      <c r="H1201" s="2"/>
    </row>
    <row r="1202" spans="8:8" x14ac:dyDescent="0.2">
      <c r="H1202" s="2"/>
    </row>
    <row r="1203" spans="8:8" x14ac:dyDescent="0.2">
      <c r="H1203" s="2"/>
    </row>
    <row r="1204" spans="8:8" x14ac:dyDescent="0.2">
      <c r="H1204" s="2"/>
    </row>
    <row r="1205" spans="8:8" x14ac:dyDescent="0.2">
      <c r="H1205" s="2"/>
    </row>
    <row r="1206" spans="8:8" x14ac:dyDescent="0.2">
      <c r="H1206" s="2"/>
    </row>
    <row r="1207" spans="8:8" x14ac:dyDescent="0.2">
      <c r="H1207" s="2"/>
    </row>
    <row r="1208" spans="8:8" x14ac:dyDescent="0.2">
      <c r="H1208" s="2"/>
    </row>
    <row r="1209" spans="8:8" x14ac:dyDescent="0.2">
      <c r="H1209" s="2"/>
    </row>
    <row r="1210" spans="8:8" x14ac:dyDescent="0.2">
      <c r="H1210" s="2"/>
    </row>
    <row r="1211" spans="8:8" x14ac:dyDescent="0.2">
      <c r="H1211" s="2"/>
    </row>
    <row r="1212" spans="8:8" x14ac:dyDescent="0.2">
      <c r="H1212" s="2"/>
    </row>
    <row r="1213" spans="8:8" x14ac:dyDescent="0.2">
      <c r="H1213" s="2"/>
    </row>
    <row r="1214" spans="8:8" x14ac:dyDescent="0.2">
      <c r="H1214" s="2"/>
    </row>
    <row r="1215" spans="8:8" x14ac:dyDescent="0.2">
      <c r="H1215" s="2"/>
    </row>
    <row r="1216" spans="8:8" x14ac:dyDescent="0.2">
      <c r="H1216" s="2"/>
    </row>
    <row r="1217" spans="8:8" x14ac:dyDescent="0.2">
      <c r="H1217" s="2"/>
    </row>
    <row r="1218" spans="8:8" x14ac:dyDescent="0.2">
      <c r="H1218" s="2"/>
    </row>
    <row r="1219" spans="8:8" x14ac:dyDescent="0.2">
      <c r="H1219" s="2"/>
    </row>
    <row r="1220" spans="8:8" x14ac:dyDescent="0.2">
      <c r="H1220" s="2"/>
    </row>
    <row r="1221" spans="8:8" x14ac:dyDescent="0.2">
      <c r="H1221" s="2"/>
    </row>
    <row r="1222" spans="8:8" x14ac:dyDescent="0.2">
      <c r="H1222" s="2"/>
    </row>
    <row r="1223" spans="8:8" x14ac:dyDescent="0.2">
      <c r="H1223" s="2"/>
    </row>
    <row r="1224" spans="8:8" x14ac:dyDescent="0.2">
      <c r="H1224" s="2"/>
    </row>
    <row r="1225" spans="8:8" x14ac:dyDescent="0.2">
      <c r="H1225" s="2"/>
    </row>
    <row r="1226" spans="8:8" x14ac:dyDescent="0.2">
      <c r="H1226" s="2"/>
    </row>
    <row r="1227" spans="8:8" x14ac:dyDescent="0.2">
      <c r="H1227" s="2"/>
    </row>
    <row r="1228" spans="8:8" x14ac:dyDescent="0.2">
      <c r="H1228" s="2"/>
    </row>
    <row r="1229" spans="8:8" x14ac:dyDescent="0.2">
      <c r="H1229" s="2"/>
    </row>
    <row r="1230" spans="8:8" x14ac:dyDescent="0.2">
      <c r="H1230" s="2"/>
    </row>
    <row r="1231" spans="8:8" x14ac:dyDescent="0.2">
      <c r="H1231" s="2"/>
    </row>
    <row r="1232" spans="8:8" x14ac:dyDescent="0.2">
      <c r="H1232" s="2"/>
    </row>
    <row r="1233" spans="8:8" x14ac:dyDescent="0.2">
      <c r="H1233" s="2"/>
    </row>
    <row r="1234" spans="8:8" x14ac:dyDescent="0.2">
      <c r="H1234" s="2"/>
    </row>
    <row r="1235" spans="8:8" x14ac:dyDescent="0.2">
      <c r="H1235" s="2"/>
    </row>
    <row r="1236" spans="8:8" x14ac:dyDescent="0.2">
      <c r="H1236" s="2"/>
    </row>
    <row r="1237" spans="8:8" x14ac:dyDescent="0.2">
      <c r="H1237" s="2"/>
    </row>
    <row r="1238" spans="8:8" x14ac:dyDescent="0.2">
      <c r="H1238" s="2"/>
    </row>
    <row r="1239" spans="8:8" x14ac:dyDescent="0.2">
      <c r="H1239" s="2"/>
    </row>
    <row r="1240" spans="8:8" x14ac:dyDescent="0.2">
      <c r="H1240" s="2"/>
    </row>
    <row r="1241" spans="8:8" x14ac:dyDescent="0.2">
      <c r="H1241" s="2"/>
    </row>
    <row r="1242" spans="8:8" x14ac:dyDescent="0.2">
      <c r="H1242" s="2"/>
    </row>
    <row r="1243" spans="8:8" x14ac:dyDescent="0.2">
      <c r="H1243" s="2"/>
    </row>
    <row r="1244" spans="8:8" x14ac:dyDescent="0.2">
      <c r="H1244" s="2"/>
    </row>
    <row r="1245" spans="8:8" x14ac:dyDescent="0.2">
      <c r="H1245" s="2"/>
    </row>
    <row r="1246" spans="8:8" x14ac:dyDescent="0.2">
      <c r="H1246" s="2"/>
    </row>
    <row r="1247" spans="8:8" x14ac:dyDescent="0.2">
      <c r="H1247" s="2"/>
    </row>
    <row r="1248" spans="8:8" x14ac:dyDescent="0.2">
      <c r="H1248" s="2"/>
    </row>
    <row r="1249" spans="8:8" x14ac:dyDescent="0.2">
      <c r="H1249" s="2"/>
    </row>
    <row r="1250" spans="8:8" x14ac:dyDescent="0.2">
      <c r="H1250" s="2"/>
    </row>
    <row r="1251" spans="8:8" x14ac:dyDescent="0.2">
      <c r="H1251" s="2"/>
    </row>
    <row r="1252" spans="8:8" x14ac:dyDescent="0.2">
      <c r="H1252" s="2"/>
    </row>
    <row r="1253" spans="8:8" x14ac:dyDescent="0.2">
      <c r="H1253" s="2"/>
    </row>
    <row r="1254" spans="8:8" x14ac:dyDescent="0.2">
      <c r="H1254" s="2"/>
    </row>
    <row r="1255" spans="8:8" x14ac:dyDescent="0.2">
      <c r="H1255" s="2"/>
    </row>
    <row r="1256" spans="8:8" x14ac:dyDescent="0.2">
      <c r="H1256" s="2"/>
    </row>
    <row r="1257" spans="8:8" x14ac:dyDescent="0.2">
      <c r="H1257" s="2"/>
    </row>
    <row r="1258" spans="8:8" x14ac:dyDescent="0.2">
      <c r="H1258" s="2"/>
    </row>
    <row r="1259" spans="8:8" x14ac:dyDescent="0.2">
      <c r="H1259" s="2"/>
    </row>
    <row r="1260" spans="8:8" x14ac:dyDescent="0.2">
      <c r="H1260" s="2"/>
    </row>
    <row r="1261" spans="8:8" x14ac:dyDescent="0.2">
      <c r="H1261" s="2"/>
    </row>
    <row r="1262" spans="8:8" x14ac:dyDescent="0.2">
      <c r="H1262" s="2"/>
    </row>
    <row r="1263" spans="8:8" x14ac:dyDescent="0.2">
      <c r="H1263" s="2"/>
    </row>
    <row r="1264" spans="8:8" x14ac:dyDescent="0.2">
      <c r="H1264" s="2"/>
    </row>
    <row r="1265" spans="8:8" x14ac:dyDescent="0.2">
      <c r="H1265" s="2"/>
    </row>
    <row r="1266" spans="8:8" x14ac:dyDescent="0.2">
      <c r="H1266" s="2"/>
    </row>
    <row r="1267" spans="8:8" x14ac:dyDescent="0.2">
      <c r="H1267" s="2"/>
    </row>
    <row r="1268" spans="8:8" x14ac:dyDescent="0.2">
      <c r="H1268" s="2"/>
    </row>
    <row r="1269" spans="8:8" x14ac:dyDescent="0.2">
      <c r="H1269" s="2"/>
    </row>
    <row r="1270" spans="8:8" x14ac:dyDescent="0.2">
      <c r="H1270" s="2"/>
    </row>
    <row r="1271" spans="8:8" x14ac:dyDescent="0.2">
      <c r="H1271" s="2"/>
    </row>
    <row r="1272" spans="8:8" x14ac:dyDescent="0.2">
      <c r="H1272" s="2"/>
    </row>
    <row r="1273" spans="8:8" x14ac:dyDescent="0.2">
      <c r="H1273" s="2"/>
    </row>
    <row r="1274" spans="8:8" x14ac:dyDescent="0.2">
      <c r="H1274" s="2"/>
    </row>
    <row r="1275" spans="8:8" x14ac:dyDescent="0.2">
      <c r="H1275" s="2"/>
    </row>
    <row r="1276" spans="8:8" x14ac:dyDescent="0.2">
      <c r="H1276" s="2"/>
    </row>
    <row r="1277" spans="8:8" x14ac:dyDescent="0.2">
      <c r="H1277" s="2"/>
    </row>
    <row r="1278" spans="8:8" x14ac:dyDescent="0.2">
      <c r="H1278" s="2"/>
    </row>
    <row r="1279" spans="8:8" x14ac:dyDescent="0.2">
      <c r="H1279" s="2"/>
    </row>
    <row r="1280" spans="8:8" x14ac:dyDescent="0.2">
      <c r="H1280" s="2"/>
    </row>
    <row r="1281" spans="8:8" x14ac:dyDescent="0.2">
      <c r="H1281" s="2"/>
    </row>
    <row r="1282" spans="8:8" x14ac:dyDescent="0.2">
      <c r="H1282" s="2"/>
    </row>
    <row r="1283" spans="8:8" x14ac:dyDescent="0.2">
      <c r="H1283" s="2"/>
    </row>
    <row r="1284" spans="8:8" x14ac:dyDescent="0.2">
      <c r="H1284" s="2"/>
    </row>
    <row r="1285" spans="8:8" x14ac:dyDescent="0.2">
      <c r="H1285" s="2"/>
    </row>
    <row r="1286" spans="8:8" x14ac:dyDescent="0.2">
      <c r="H1286" s="2"/>
    </row>
    <row r="1287" spans="8:8" x14ac:dyDescent="0.2">
      <c r="H1287" s="2"/>
    </row>
    <row r="1288" spans="8:8" x14ac:dyDescent="0.2">
      <c r="H1288" s="2"/>
    </row>
    <row r="1289" spans="8:8" x14ac:dyDescent="0.2">
      <c r="H1289" s="2"/>
    </row>
    <row r="1290" spans="8:8" x14ac:dyDescent="0.2">
      <c r="H1290" s="2"/>
    </row>
    <row r="1291" spans="8:8" x14ac:dyDescent="0.2">
      <c r="H1291" s="2"/>
    </row>
    <row r="1292" spans="8:8" x14ac:dyDescent="0.2">
      <c r="H1292" s="2"/>
    </row>
    <row r="1293" spans="8:8" x14ac:dyDescent="0.2">
      <c r="H1293" s="2"/>
    </row>
    <row r="1294" spans="8:8" x14ac:dyDescent="0.2">
      <c r="H1294" s="2"/>
    </row>
    <row r="1295" spans="8:8" x14ac:dyDescent="0.2">
      <c r="H1295" s="2"/>
    </row>
    <row r="1296" spans="8:8" x14ac:dyDescent="0.2">
      <c r="H1296" s="2"/>
    </row>
    <row r="1297" spans="8:8" x14ac:dyDescent="0.2">
      <c r="H1297" s="2"/>
    </row>
    <row r="1298" spans="8:8" x14ac:dyDescent="0.2">
      <c r="H1298" s="2"/>
    </row>
    <row r="1299" spans="8:8" x14ac:dyDescent="0.2">
      <c r="H1299" s="2"/>
    </row>
    <row r="1300" spans="8:8" x14ac:dyDescent="0.2">
      <c r="H1300" s="2"/>
    </row>
    <row r="1301" spans="8:8" x14ac:dyDescent="0.2">
      <c r="H1301" s="2"/>
    </row>
    <row r="1302" spans="8:8" x14ac:dyDescent="0.2">
      <c r="H1302" s="2"/>
    </row>
    <row r="1303" spans="8:8" x14ac:dyDescent="0.2">
      <c r="H1303" s="2"/>
    </row>
    <row r="1304" spans="8:8" x14ac:dyDescent="0.2">
      <c r="H1304" s="2"/>
    </row>
    <row r="1305" spans="8:8" x14ac:dyDescent="0.2">
      <c r="H1305" s="2"/>
    </row>
    <row r="1306" spans="8:8" x14ac:dyDescent="0.2">
      <c r="H1306" s="2"/>
    </row>
    <row r="1307" spans="8:8" x14ac:dyDescent="0.2">
      <c r="H1307" s="2"/>
    </row>
    <row r="1308" spans="8:8" x14ac:dyDescent="0.2">
      <c r="H1308" s="2"/>
    </row>
    <row r="1309" spans="8:8" x14ac:dyDescent="0.2">
      <c r="H1309" s="2"/>
    </row>
    <row r="1310" spans="8:8" x14ac:dyDescent="0.2">
      <c r="H1310" s="2"/>
    </row>
    <row r="1311" spans="8:8" x14ac:dyDescent="0.2">
      <c r="H1311" s="2"/>
    </row>
    <row r="1312" spans="8:8" x14ac:dyDescent="0.2">
      <c r="H1312" s="2"/>
    </row>
    <row r="1313" spans="8:8" x14ac:dyDescent="0.2">
      <c r="H1313" s="2"/>
    </row>
    <row r="1314" spans="8:8" x14ac:dyDescent="0.2">
      <c r="H1314" s="2"/>
    </row>
    <row r="1315" spans="8:8" x14ac:dyDescent="0.2">
      <c r="H1315" s="2"/>
    </row>
    <row r="1316" spans="8:8" x14ac:dyDescent="0.2">
      <c r="H1316" s="2"/>
    </row>
    <row r="1317" spans="8:8" x14ac:dyDescent="0.2">
      <c r="H1317" s="2"/>
    </row>
    <row r="1318" spans="8:8" x14ac:dyDescent="0.2">
      <c r="H1318" s="2"/>
    </row>
    <row r="1319" spans="8:8" x14ac:dyDescent="0.2">
      <c r="H1319" s="2"/>
    </row>
    <row r="1320" spans="8:8" x14ac:dyDescent="0.2">
      <c r="H1320" s="2"/>
    </row>
    <row r="1321" spans="8:8" x14ac:dyDescent="0.2">
      <c r="H1321" s="2"/>
    </row>
    <row r="1322" spans="8:8" x14ac:dyDescent="0.2">
      <c r="H1322" s="2"/>
    </row>
    <row r="1323" spans="8:8" x14ac:dyDescent="0.2">
      <c r="H1323" s="2"/>
    </row>
    <row r="1324" spans="8:8" x14ac:dyDescent="0.2">
      <c r="H1324" s="2"/>
    </row>
    <row r="1325" spans="8:8" x14ac:dyDescent="0.2">
      <c r="H1325" s="2"/>
    </row>
    <row r="1326" spans="8:8" x14ac:dyDescent="0.2">
      <c r="H1326" s="2"/>
    </row>
    <row r="1327" spans="8:8" x14ac:dyDescent="0.2">
      <c r="H1327" s="2"/>
    </row>
    <row r="1328" spans="8:8" x14ac:dyDescent="0.2">
      <c r="H1328" s="2"/>
    </row>
    <row r="1329" spans="8:8" x14ac:dyDescent="0.2">
      <c r="H1329" s="2"/>
    </row>
    <row r="1330" spans="8:8" x14ac:dyDescent="0.2">
      <c r="H1330" s="2"/>
    </row>
    <row r="1331" spans="8:8" x14ac:dyDescent="0.2">
      <c r="H1331" s="2"/>
    </row>
    <row r="1332" spans="8:8" x14ac:dyDescent="0.2">
      <c r="H1332" s="2"/>
    </row>
    <row r="1333" spans="8:8" x14ac:dyDescent="0.2">
      <c r="H1333" s="2"/>
    </row>
    <row r="1334" spans="8:8" x14ac:dyDescent="0.2">
      <c r="H1334" s="2"/>
    </row>
    <row r="1335" spans="8:8" x14ac:dyDescent="0.2">
      <c r="H1335" s="2"/>
    </row>
    <row r="1336" spans="8:8" x14ac:dyDescent="0.2">
      <c r="H1336" s="2"/>
    </row>
    <row r="1337" spans="8:8" x14ac:dyDescent="0.2">
      <c r="H1337" s="2"/>
    </row>
    <row r="1338" spans="8:8" x14ac:dyDescent="0.2">
      <c r="H1338" s="2"/>
    </row>
    <row r="1339" spans="8:8" x14ac:dyDescent="0.2">
      <c r="H1339" s="2"/>
    </row>
    <row r="1340" spans="8:8" x14ac:dyDescent="0.2">
      <c r="H1340" s="2"/>
    </row>
    <row r="1341" spans="8:8" x14ac:dyDescent="0.2">
      <c r="H1341" s="2"/>
    </row>
    <row r="1342" spans="8:8" x14ac:dyDescent="0.2">
      <c r="H1342" s="2"/>
    </row>
    <row r="1343" spans="8:8" x14ac:dyDescent="0.2">
      <c r="H1343" s="2"/>
    </row>
    <row r="1344" spans="8:8" x14ac:dyDescent="0.2">
      <c r="H1344" s="2"/>
    </row>
    <row r="1345" spans="8:8" x14ac:dyDescent="0.2">
      <c r="H1345" s="2"/>
    </row>
    <row r="1346" spans="8:8" x14ac:dyDescent="0.2">
      <c r="H1346" s="2"/>
    </row>
    <row r="1347" spans="8:8" x14ac:dyDescent="0.2">
      <c r="H1347" s="2"/>
    </row>
    <row r="1348" spans="8:8" x14ac:dyDescent="0.2">
      <c r="H1348" s="2"/>
    </row>
    <row r="1349" spans="8:8" x14ac:dyDescent="0.2">
      <c r="H1349" s="2"/>
    </row>
    <row r="1350" spans="8:8" x14ac:dyDescent="0.2">
      <c r="H1350" s="2"/>
    </row>
    <row r="1351" spans="8:8" x14ac:dyDescent="0.2">
      <c r="H1351" s="2"/>
    </row>
    <row r="1352" spans="8:8" x14ac:dyDescent="0.2">
      <c r="H1352" s="2"/>
    </row>
    <row r="1353" spans="8:8" x14ac:dyDescent="0.2">
      <c r="H1353" s="2"/>
    </row>
    <row r="1354" spans="8:8" x14ac:dyDescent="0.2">
      <c r="H1354" s="2"/>
    </row>
    <row r="1355" spans="8:8" x14ac:dyDescent="0.2">
      <c r="H1355" s="2"/>
    </row>
    <row r="1356" spans="8:8" x14ac:dyDescent="0.2">
      <c r="H1356" s="2"/>
    </row>
    <row r="1357" spans="8:8" x14ac:dyDescent="0.2">
      <c r="H1357" s="2"/>
    </row>
    <row r="1358" spans="8:8" x14ac:dyDescent="0.2">
      <c r="H1358" s="2"/>
    </row>
    <row r="1359" spans="8:8" x14ac:dyDescent="0.2">
      <c r="H1359" s="2"/>
    </row>
    <row r="1360" spans="8:8" x14ac:dyDescent="0.2">
      <c r="H1360" s="2"/>
    </row>
    <row r="1361" spans="8:8" x14ac:dyDescent="0.2">
      <c r="H1361" s="2"/>
    </row>
    <row r="1362" spans="8:8" x14ac:dyDescent="0.2">
      <c r="H1362" s="2"/>
    </row>
    <row r="1363" spans="8:8" x14ac:dyDescent="0.2">
      <c r="H1363" s="2"/>
    </row>
    <row r="1364" spans="8:8" x14ac:dyDescent="0.2">
      <c r="H1364" s="2"/>
    </row>
    <row r="1365" spans="8:8" x14ac:dyDescent="0.2">
      <c r="H1365" s="2"/>
    </row>
    <row r="1366" spans="8:8" x14ac:dyDescent="0.2">
      <c r="H1366" s="2"/>
    </row>
    <row r="1367" spans="8:8" x14ac:dyDescent="0.2">
      <c r="H1367" s="2"/>
    </row>
    <row r="1368" spans="8:8" x14ac:dyDescent="0.2">
      <c r="H1368" s="2"/>
    </row>
    <row r="1369" spans="8:8" x14ac:dyDescent="0.2">
      <c r="H1369" s="2"/>
    </row>
    <row r="1370" spans="8:8" x14ac:dyDescent="0.2">
      <c r="H1370" s="2"/>
    </row>
    <row r="1371" spans="8:8" x14ac:dyDescent="0.2">
      <c r="H1371" s="2"/>
    </row>
    <row r="1372" spans="8:8" x14ac:dyDescent="0.2">
      <c r="H1372" s="2"/>
    </row>
    <row r="1373" spans="8:8" x14ac:dyDescent="0.2">
      <c r="H1373" s="2"/>
    </row>
    <row r="1374" spans="8:8" x14ac:dyDescent="0.2">
      <c r="H1374" s="2"/>
    </row>
    <row r="1375" spans="8:8" x14ac:dyDescent="0.2">
      <c r="H1375" s="2"/>
    </row>
    <row r="1376" spans="8:8" x14ac:dyDescent="0.2">
      <c r="H1376" s="2"/>
    </row>
    <row r="1377" spans="8:8" x14ac:dyDescent="0.2">
      <c r="H1377" s="2"/>
    </row>
    <row r="1378" spans="8:8" x14ac:dyDescent="0.2">
      <c r="H1378" s="2"/>
    </row>
    <row r="1379" spans="8:8" x14ac:dyDescent="0.2">
      <c r="H1379" s="2"/>
    </row>
    <row r="1380" spans="8:8" x14ac:dyDescent="0.2">
      <c r="H1380" s="2"/>
    </row>
    <row r="1381" spans="8:8" x14ac:dyDescent="0.2">
      <c r="H1381" s="2"/>
    </row>
    <row r="1382" spans="8:8" x14ac:dyDescent="0.2">
      <c r="H1382" s="2"/>
    </row>
    <row r="1383" spans="8:8" x14ac:dyDescent="0.2">
      <c r="H1383" s="2"/>
    </row>
    <row r="1384" spans="8:8" x14ac:dyDescent="0.2">
      <c r="H1384" s="2"/>
    </row>
    <row r="1385" spans="8:8" x14ac:dyDescent="0.2">
      <c r="H1385" s="2"/>
    </row>
    <row r="1386" spans="8:8" x14ac:dyDescent="0.2">
      <c r="H1386" s="2"/>
    </row>
    <row r="1387" spans="8:8" x14ac:dyDescent="0.2">
      <c r="H1387" s="2"/>
    </row>
    <row r="1388" spans="8:8" x14ac:dyDescent="0.2">
      <c r="H1388" s="2"/>
    </row>
    <row r="1389" spans="8:8" x14ac:dyDescent="0.2">
      <c r="H1389" s="2"/>
    </row>
    <row r="1390" spans="8:8" x14ac:dyDescent="0.2">
      <c r="H1390" s="2"/>
    </row>
    <row r="1391" spans="8:8" x14ac:dyDescent="0.2">
      <c r="H1391" s="2"/>
    </row>
    <row r="1392" spans="8:8" x14ac:dyDescent="0.2">
      <c r="H1392" s="2"/>
    </row>
    <row r="1393" spans="8:8" x14ac:dyDescent="0.2">
      <c r="H1393" s="2"/>
    </row>
    <row r="1394" spans="8:8" x14ac:dyDescent="0.2">
      <c r="H1394" s="2"/>
    </row>
    <row r="1395" spans="8:8" x14ac:dyDescent="0.2">
      <c r="H1395" s="2"/>
    </row>
    <row r="1396" spans="8:8" x14ac:dyDescent="0.2">
      <c r="H1396" s="2"/>
    </row>
    <row r="1397" spans="8:8" x14ac:dyDescent="0.2">
      <c r="H1397" s="2"/>
    </row>
    <row r="1398" spans="8:8" x14ac:dyDescent="0.2">
      <c r="H1398" s="2"/>
    </row>
    <row r="1399" spans="8:8" x14ac:dyDescent="0.2">
      <c r="H1399" s="2"/>
    </row>
    <row r="1400" spans="8:8" x14ac:dyDescent="0.2">
      <c r="H1400" s="2"/>
    </row>
    <row r="1401" spans="8:8" x14ac:dyDescent="0.2">
      <c r="H1401" s="2"/>
    </row>
    <row r="1402" spans="8:8" x14ac:dyDescent="0.2">
      <c r="H1402" s="2"/>
    </row>
    <row r="1403" spans="8:8" x14ac:dyDescent="0.2">
      <c r="H1403" s="2"/>
    </row>
    <row r="1404" spans="8:8" x14ac:dyDescent="0.2">
      <c r="H1404" s="2"/>
    </row>
    <row r="1405" spans="8:8" x14ac:dyDescent="0.2">
      <c r="H1405" s="2"/>
    </row>
    <row r="1406" spans="8:8" x14ac:dyDescent="0.2">
      <c r="H1406" s="2"/>
    </row>
    <row r="1407" spans="8:8" x14ac:dyDescent="0.2">
      <c r="H1407" s="2"/>
    </row>
    <row r="1408" spans="8:8" x14ac:dyDescent="0.2">
      <c r="H1408" s="2"/>
    </row>
    <row r="1409" spans="8:8" x14ac:dyDescent="0.2">
      <c r="H1409" s="2"/>
    </row>
    <row r="1410" spans="8:8" x14ac:dyDescent="0.2">
      <c r="H1410" s="2"/>
    </row>
    <row r="1411" spans="8:8" x14ac:dyDescent="0.2">
      <c r="H1411" s="2"/>
    </row>
    <row r="1412" spans="8:8" x14ac:dyDescent="0.2">
      <c r="H1412" s="2"/>
    </row>
    <row r="1413" spans="8:8" x14ac:dyDescent="0.2">
      <c r="H1413" s="2"/>
    </row>
    <row r="1414" spans="8:8" x14ac:dyDescent="0.2">
      <c r="H1414" s="2"/>
    </row>
    <row r="1415" spans="8:8" x14ac:dyDescent="0.2">
      <c r="H1415" s="2"/>
    </row>
    <row r="1416" spans="8:8" x14ac:dyDescent="0.2">
      <c r="H1416" s="2"/>
    </row>
    <row r="1417" spans="8:8" x14ac:dyDescent="0.2">
      <c r="H1417" s="2"/>
    </row>
    <row r="1418" spans="8:8" x14ac:dyDescent="0.2">
      <c r="H1418" s="2"/>
    </row>
    <row r="1419" spans="8:8" x14ac:dyDescent="0.2">
      <c r="H1419" s="2"/>
    </row>
    <row r="1420" spans="8:8" x14ac:dyDescent="0.2">
      <c r="H1420" s="2"/>
    </row>
    <row r="1421" spans="8:8" x14ac:dyDescent="0.2">
      <c r="H1421" s="2"/>
    </row>
    <row r="1422" spans="8:8" x14ac:dyDescent="0.2">
      <c r="H1422" s="2"/>
    </row>
    <row r="1423" spans="8:8" x14ac:dyDescent="0.2">
      <c r="H1423" s="2"/>
    </row>
    <row r="1424" spans="8:8" x14ac:dyDescent="0.2">
      <c r="H1424" s="2"/>
    </row>
    <row r="1425" spans="8:8" x14ac:dyDescent="0.2">
      <c r="H1425" s="2"/>
    </row>
    <row r="1426" spans="8:8" x14ac:dyDescent="0.2">
      <c r="H1426" s="2"/>
    </row>
    <row r="1427" spans="8:8" x14ac:dyDescent="0.2">
      <c r="H1427" s="2"/>
    </row>
    <row r="1428" spans="8:8" x14ac:dyDescent="0.2">
      <c r="H1428" s="2"/>
    </row>
    <row r="1429" spans="8:8" x14ac:dyDescent="0.2">
      <c r="H1429" s="2"/>
    </row>
    <row r="1430" spans="8:8" x14ac:dyDescent="0.2">
      <c r="H1430" s="2"/>
    </row>
    <row r="1431" spans="8:8" x14ac:dyDescent="0.2">
      <c r="H1431" s="2"/>
    </row>
    <row r="1432" spans="8:8" x14ac:dyDescent="0.2">
      <c r="H1432" s="2"/>
    </row>
    <row r="1433" spans="8:8" x14ac:dyDescent="0.2">
      <c r="H1433" s="2"/>
    </row>
    <row r="1434" spans="8:8" x14ac:dyDescent="0.2">
      <c r="H1434" s="2"/>
    </row>
    <row r="1435" spans="8:8" x14ac:dyDescent="0.2">
      <c r="H1435" s="2"/>
    </row>
    <row r="1436" spans="8:8" x14ac:dyDescent="0.2">
      <c r="H1436" s="2"/>
    </row>
    <row r="1437" spans="8:8" x14ac:dyDescent="0.2">
      <c r="H1437" s="2"/>
    </row>
    <row r="1438" spans="8:8" x14ac:dyDescent="0.2">
      <c r="H1438" s="2"/>
    </row>
    <row r="1439" spans="8:8" x14ac:dyDescent="0.2">
      <c r="H1439" s="2"/>
    </row>
    <row r="1440" spans="8:8" x14ac:dyDescent="0.2">
      <c r="H1440" s="2"/>
    </row>
    <row r="1441" spans="8:8" x14ac:dyDescent="0.2">
      <c r="H1441" s="2"/>
    </row>
    <row r="1442" spans="8:8" x14ac:dyDescent="0.2">
      <c r="H1442" s="2"/>
    </row>
    <row r="1443" spans="8:8" x14ac:dyDescent="0.2">
      <c r="H1443" s="2"/>
    </row>
    <row r="1444" spans="8:8" x14ac:dyDescent="0.2">
      <c r="H1444" s="2"/>
    </row>
    <row r="1445" spans="8:8" x14ac:dyDescent="0.2">
      <c r="H1445" s="2"/>
    </row>
    <row r="1446" spans="8:8" x14ac:dyDescent="0.2">
      <c r="H1446" s="2"/>
    </row>
    <row r="1447" spans="8:8" x14ac:dyDescent="0.2">
      <c r="H1447" s="2"/>
    </row>
    <row r="1448" spans="8:8" x14ac:dyDescent="0.2">
      <c r="H1448" s="2"/>
    </row>
    <row r="1449" spans="8:8" x14ac:dyDescent="0.2">
      <c r="H1449" s="2"/>
    </row>
    <row r="1450" spans="8:8" x14ac:dyDescent="0.2">
      <c r="H1450" s="2"/>
    </row>
    <row r="1451" spans="8:8" x14ac:dyDescent="0.2">
      <c r="H1451" s="2"/>
    </row>
    <row r="1452" spans="8:8" x14ac:dyDescent="0.2">
      <c r="H1452" s="2"/>
    </row>
    <row r="1453" spans="8:8" x14ac:dyDescent="0.2">
      <c r="H1453" s="2"/>
    </row>
    <row r="1454" spans="8:8" x14ac:dyDescent="0.2">
      <c r="H1454" s="2"/>
    </row>
    <row r="1455" spans="8:8" x14ac:dyDescent="0.2">
      <c r="H1455" s="2"/>
    </row>
    <row r="1456" spans="8:8" x14ac:dyDescent="0.2">
      <c r="H1456" s="2"/>
    </row>
    <row r="1457" spans="8:8" x14ac:dyDescent="0.2">
      <c r="H1457" s="2"/>
    </row>
    <row r="1458" spans="8:8" x14ac:dyDescent="0.2">
      <c r="H1458" s="2"/>
    </row>
    <row r="1459" spans="8:8" x14ac:dyDescent="0.2">
      <c r="H1459" s="2"/>
    </row>
    <row r="1460" spans="8:8" x14ac:dyDescent="0.2">
      <c r="H1460" s="2"/>
    </row>
    <row r="1461" spans="8:8" x14ac:dyDescent="0.2">
      <c r="H1461" s="2"/>
    </row>
    <row r="1462" spans="8:8" x14ac:dyDescent="0.2">
      <c r="H1462" s="2"/>
    </row>
    <row r="1463" spans="8:8" x14ac:dyDescent="0.2">
      <c r="H1463" s="2"/>
    </row>
    <row r="1464" spans="8:8" x14ac:dyDescent="0.2">
      <c r="H1464" s="2"/>
    </row>
    <row r="1465" spans="8:8" x14ac:dyDescent="0.2">
      <c r="H1465" s="2"/>
    </row>
    <row r="1466" spans="8:8" x14ac:dyDescent="0.2">
      <c r="H1466" s="2"/>
    </row>
    <row r="1467" spans="8:8" x14ac:dyDescent="0.2">
      <c r="H1467" s="2"/>
    </row>
    <row r="1468" spans="8:8" x14ac:dyDescent="0.2">
      <c r="H1468" s="2"/>
    </row>
    <row r="1469" spans="8:8" x14ac:dyDescent="0.2">
      <c r="H1469" s="2"/>
    </row>
    <row r="1470" spans="8:8" x14ac:dyDescent="0.2">
      <c r="H1470" s="2"/>
    </row>
    <row r="1471" spans="8:8" x14ac:dyDescent="0.2">
      <c r="H1471" s="2"/>
    </row>
    <row r="1472" spans="8:8" x14ac:dyDescent="0.2">
      <c r="H1472" s="2"/>
    </row>
    <row r="1473" spans="8:8" x14ac:dyDescent="0.2">
      <c r="H1473" s="2"/>
    </row>
    <row r="1474" spans="8:8" x14ac:dyDescent="0.2">
      <c r="H1474" s="2"/>
    </row>
    <row r="1475" spans="8:8" x14ac:dyDescent="0.2">
      <c r="H1475" s="2"/>
    </row>
    <row r="1476" spans="8:8" x14ac:dyDescent="0.2">
      <c r="H1476" s="2"/>
    </row>
    <row r="1477" spans="8:8" x14ac:dyDescent="0.2">
      <c r="H1477" s="2"/>
    </row>
    <row r="1478" spans="8:8" x14ac:dyDescent="0.2">
      <c r="H1478" s="2"/>
    </row>
    <row r="1479" spans="8:8" x14ac:dyDescent="0.2">
      <c r="H1479" s="2"/>
    </row>
    <row r="1480" spans="8:8" x14ac:dyDescent="0.2">
      <c r="H1480" s="2"/>
    </row>
    <row r="1481" spans="8:8" x14ac:dyDescent="0.2">
      <c r="H1481" s="2"/>
    </row>
    <row r="1482" spans="8:8" x14ac:dyDescent="0.2">
      <c r="H1482" s="2"/>
    </row>
    <row r="1483" spans="8:8" x14ac:dyDescent="0.2">
      <c r="H1483" s="2"/>
    </row>
    <row r="1484" spans="8:8" x14ac:dyDescent="0.2">
      <c r="H1484" s="2"/>
    </row>
    <row r="1485" spans="8:8" x14ac:dyDescent="0.2">
      <c r="H1485" s="2"/>
    </row>
    <row r="1486" spans="8:8" x14ac:dyDescent="0.2">
      <c r="H1486" s="2"/>
    </row>
    <row r="1487" spans="8:8" x14ac:dyDescent="0.2">
      <c r="H1487" s="2"/>
    </row>
    <row r="1488" spans="8:8" x14ac:dyDescent="0.2">
      <c r="H1488" s="2"/>
    </row>
    <row r="1489" spans="8:8" x14ac:dyDescent="0.2">
      <c r="H1489" s="2"/>
    </row>
    <row r="1490" spans="8:8" x14ac:dyDescent="0.2">
      <c r="H1490" s="2"/>
    </row>
    <row r="1491" spans="8:8" x14ac:dyDescent="0.2">
      <c r="H1491" s="2"/>
    </row>
    <row r="1492" spans="8:8" x14ac:dyDescent="0.2">
      <c r="H1492" s="2"/>
    </row>
    <row r="1493" spans="8:8" x14ac:dyDescent="0.2">
      <c r="H1493" s="2"/>
    </row>
    <row r="1494" spans="8:8" x14ac:dyDescent="0.2">
      <c r="H1494" s="2"/>
    </row>
    <row r="1495" spans="8:8" x14ac:dyDescent="0.2">
      <c r="H1495" s="2"/>
    </row>
    <row r="1496" spans="8:8" x14ac:dyDescent="0.2">
      <c r="H1496" s="2"/>
    </row>
    <row r="1497" spans="8:8" x14ac:dyDescent="0.2">
      <c r="H1497" s="2"/>
    </row>
    <row r="1498" spans="8:8" x14ac:dyDescent="0.2">
      <c r="H1498" s="2"/>
    </row>
    <row r="1499" spans="8:8" x14ac:dyDescent="0.2">
      <c r="H1499" s="2"/>
    </row>
    <row r="1500" spans="8:8" x14ac:dyDescent="0.2">
      <c r="H1500" s="2"/>
    </row>
    <row r="1501" spans="8:8" x14ac:dyDescent="0.2">
      <c r="H1501" s="2"/>
    </row>
    <row r="1502" spans="8:8" x14ac:dyDescent="0.2">
      <c r="H1502" s="2"/>
    </row>
    <row r="1503" spans="8:8" x14ac:dyDescent="0.2">
      <c r="H1503" s="2"/>
    </row>
    <row r="1504" spans="8:8" x14ac:dyDescent="0.2">
      <c r="H1504" s="2"/>
    </row>
    <row r="1505" spans="8:8" x14ac:dyDescent="0.2">
      <c r="H1505" s="2"/>
    </row>
    <row r="1506" spans="8:8" x14ac:dyDescent="0.2">
      <c r="H1506" s="2"/>
    </row>
    <row r="1507" spans="8:8" x14ac:dyDescent="0.2">
      <c r="H1507" s="2"/>
    </row>
    <row r="1508" spans="8:8" x14ac:dyDescent="0.2">
      <c r="H1508" s="2"/>
    </row>
    <row r="1509" spans="8:8" x14ac:dyDescent="0.2">
      <c r="H1509" s="2"/>
    </row>
    <row r="1510" spans="8:8" x14ac:dyDescent="0.2">
      <c r="H1510" s="2"/>
    </row>
    <row r="1511" spans="8:8" x14ac:dyDescent="0.2">
      <c r="H1511" s="2"/>
    </row>
    <row r="1512" spans="8:8" x14ac:dyDescent="0.2">
      <c r="H1512" s="2"/>
    </row>
    <row r="1513" spans="8:8" x14ac:dyDescent="0.2">
      <c r="H1513" s="2"/>
    </row>
    <row r="1514" spans="8:8" x14ac:dyDescent="0.2">
      <c r="H1514" s="2"/>
    </row>
    <row r="1515" spans="8:8" x14ac:dyDescent="0.2">
      <c r="H1515" s="2"/>
    </row>
    <row r="1516" spans="8:8" x14ac:dyDescent="0.2">
      <c r="H1516" s="2"/>
    </row>
    <row r="1517" spans="8:8" x14ac:dyDescent="0.2">
      <c r="H1517" s="2"/>
    </row>
    <row r="1518" spans="8:8" x14ac:dyDescent="0.2">
      <c r="H1518" s="2"/>
    </row>
    <row r="1519" spans="8:8" x14ac:dyDescent="0.2">
      <c r="H1519" s="2"/>
    </row>
    <row r="1520" spans="8:8" x14ac:dyDescent="0.2">
      <c r="H1520" s="2"/>
    </row>
    <row r="1521" spans="8:8" x14ac:dyDescent="0.2">
      <c r="H1521" s="2"/>
    </row>
    <row r="1522" spans="8:8" x14ac:dyDescent="0.2">
      <c r="H1522" s="2"/>
    </row>
    <row r="1523" spans="8:8" x14ac:dyDescent="0.2">
      <c r="H1523" s="2"/>
    </row>
    <row r="1524" spans="8:8" x14ac:dyDescent="0.2">
      <c r="H1524" s="2"/>
    </row>
    <row r="1525" spans="8:8" x14ac:dyDescent="0.2">
      <c r="H1525" s="2"/>
    </row>
    <row r="1526" spans="8:8" x14ac:dyDescent="0.2">
      <c r="H1526" s="2"/>
    </row>
    <row r="1527" spans="8:8" x14ac:dyDescent="0.2">
      <c r="H1527" s="2"/>
    </row>
    <row r="1528" spans="8:8" x14ac:dyDescent="0.2">
      <c r="H1528" s="2"/>
    </row>
    <row r="1529" spans="8:8" x14ac:dyDescent="0.2">
      <c r="H1529" s="2"/>
    </row>
    <row r="1530" spans="8:8" x14ac:dyDescent="0.2">
      <c r="H1530" s="2"/>
    </row>
    <row r="1531" spans="8:8" x14ac:dyDescent="0.2">
      <c r="H1531" s="2"/>
    </row>
    <row r="1532" spans="8:8" x14ac:dyDescent="0.2">
      <c r="H1532" s="2"/>
    </row>
    <row r="1533" spans="8:8" x14ac:dyDescent="0.2">
      <c r="H1533" s="2"/>
    </row>
    <row r="1534" spans="8:8" x14ac:dyDescent="0.2">
      <c r="H1534" s="2"/>
    </row>
    <row r="1535" spans="8:8" x14ac:dyDescent="0.2">
      <c r="H1535" s="2"/>
    </row>
    <row r="1536" spans="8:8" x14ac:dyDescent="0.2">
      <c r="H1536" s="2"/>
    </row>
    <row r="1537" spans="8:8" x14ac:dyDescent="0.2">
      <c r="H1537" s="2"/>
    </row>
    <row r="1538" spans="8:8" x14ac:dyDescent="0.2">
      <c r="H1538" s="2"/>
    </row>
    <row r="1539" spans="8:8" x14ac:dyDescent="0.2">
      <c r="H1539" s="2"/>
    </row>
    <row r="1540" spans="8:8" x14ac:dyDescent="0.2">
      <c r="H1540" s="2"/>
    </row>
    <row r="1541" spans="8:8" x14ac:dyDescent="0.2">
      <c r="H1541" s="2"/>
    </row>
    <row r="1542" spans="8:8" x14ac:dyDescent="0.2">
      <c r="H1542" s="2"/>
    </row>
    <row r="1543" spans="8:8" x14ac:dyDescent="0.2">
      <c r="H1543" s="2"/>
    </row>
    <row r="1544" spans="8:8" x14ac:dyDescent="0.2">
      <c r="H1544" s="2"/>
    </row>
    <row r="1545" spans="8:8" x14ac:dyDescent="0.2">
      <c r="H1545" s="2"/>
    </row>
    <row r="1546" spans="8:8" x14ac:dyDescent="0.2">
      <c r="H1546" s="2"/>
    </row>
    <row r="1547" spans="8:8" x14ac:dyDescent="0.2">
      <c r="H1547" s="2"/>
    </row>
    <row r="1548" spans="8:8" x14ac:dyDescent="0.2">
      <c r="H1548" s="2"/>
    </row>
    <row r="1549" spans="8:8" x14ac:dyDescent="0.2">
      <c r="H1549" s="2"/>
    </row>
    <row r="1550" spans="8:8" x14ac:dyDescent="0.2">
      <c r="H1550" s="2"/>
    </row>
    <row r="1551" spans="8:8" x14ac:dyDescent="0.2">
      <c r="H1551" s="2"/>
    </row>
    <row r="1552" spans="8:8" x14ac:dyDescent="0.2">
      <c r="H1552" s="2"/>
    </row>
    <row r="1553" spans="8:8" x14ac:dyDescent="0.2">
      <c r="H1553" s="2"/>
    </row>
    <row r="1554" spans="8:8" x14ac:dyDescent="0.2">
      <c r="H1554" s="2"/>
    </row>
    <row r="1555" spans="8:8" x14ac:dyDescent="0.2">
      <c r="H1555" s="2"/>
    </row>
    <row r="1556" spans="8:8" x14ac:dyDescent="0.2">
      <c r="H1556" s="2"/>
    </row>
    <row r="1557" spans="8:8" x14ac:dyDescent="0.2">
      <c r="H1557" s="2"/>
    </row>
    <row r="1558" spans="8:8" x14ac:dyDescent="0.2">
      <c r="H1558" s="2"/>
    </row>
    <row r="1559" spans="8:8" x14ac:dyDescent="0.2">
      <c r="H1559" s="2"/>
    </row>
    <row r="1560" spans="8:8" x14ac:dyDescent="0.2">
      <c r="H1560" s="2"/>
    </row>
    <row r="1561" spans="8:8" x14ac:dyDescent="0.2">
      <c r="H1561" s="2"/>
    </row>
    <row r="1562" spans="8:8" x14ac:dyDescent="0.2">
      <c r="H1562" s="2"/>
    </row>
    <row r="1563" spans="8:8" x14ac:dyDescent="0.2">
      <c r="H1563" s="2"/>
    </row>
    <row r="1564" spans="8:8" x14ac:dyDescent="0.2">
      <c r="H1564" s="2"/>
    </row>
    <row r="1565" spans="8:8" x14ac:dyDescent="0.2">
      <c r="H1565" s="2"/>
    </row>
    <row r="1566" spans="8:8" x14ac:dyDescent="0.2">
      <c r="H1566" s="2"/>
    </row>
    <row r="1567" spans="8:8" x14ac:dyDescent="0.2">
      <c r="H1567" s="2"/>
    </row>
    <row r="1568" spans="8:8" x14ac:dyDescent="0.2">
      <c r="H1568" s="2"/>
    </row>
    <row r="1569" spans="8:8" x14ac:dyDescent="0.2">
      <c r="H1569" s="2"/>
    </row>
    <row r="1570" spans="8:8" x14ac:dyDescent="0.2">
      <c r="H1570" s="2"/>
    </row>
    <row r="1571" spans="8:8" x14ac:dyDescent="0.2">
      <c r="H1571" s="2"/>
    </row>
    <row r="1572" spans="8:8" x14ac:dyDescent="0.2">
      <c r="H1572" s="2"/>
    </row>
    <row r="1573" spans="8:8" x14ac:dyDescent="0.2">
      <c r="H1573" s="2"/>
    </row>
    <row r="1574" spans="8:8" x14ac:dyDescent="0.2">
      <c r="H1574" s="2"/>
    </row>
    <row r="1575" spans="8:8" x14ac:dyDescent="0.2">
      <c r="H1575" s="2"/>
    </row>
    <row r="1576" spans="8:8" x14ac:dyDescent="0.2">
      <c r="H1576" s="2"/>
    </row>
    <row r="1577" spans="8:8" x14ac:dyDescent="0.2">
      <c r="H1577" s="2"/>
    </row>
    <row r="1578" spans="8:8" x14ac:dyDescent="0.2">
      <c r="H1578" s="2"/>
    </row>
    <row r="1579" spans="8:8" x14ac:dyDescent="0.2">
      <c r="H1579" s="2"/>
    </row>
    <row r="1580" spans="8:8" x14ac:dyDescent="0.2">
      <c r="H1580" s="2"/>
    </row>
    <row r="1581" spans="8:8" x14ac:dyDescent="0.2">
      <c r="H1581" s="2"/>
    </row>
    <row r="1582" spans="8:8" x14ac:dyDescent="0.2">
      <c r="H1582" s="2"/>
    </row>
    <row r="1583" spans="8:8" x14ac:dyDescent="0.2">
      <c r="H1583" s="2"/>
    </row>
    <row r="1584" spans="8:8" x14ac:dyDescent="0.2">
      <c r="H1584" s="2"/>
    </row>
    <row r="1585" spans="8:8" x14ac:dyDescent="0.2">
      <c r="H1585" s="2"/>
    </row>
    <row r="1586" spans="8:8" x14ac:dyDescent="0.2">
      <c r="H1586" s="2"/>
    </row>
    <row r="1587" spans="8:8" x14ac:dyDescent="0.2">
      <c r="H1587" s="2"/>
    </row>
    <row r="1588" spans="8:8" x14ac:dyDescent="0.2">
      <c r="H1588" s="2"/>
    </row>
    <row r="1589" spans="8:8" x14ac:dyDescent="0.2">
      <c r="H1589" s="2"/>
    </row>
    <row r="1590" spans="8:8" x14ac:dyDescent="0.2">
      <c r="H1590" s="2"/>
    </row>
    <row r="1591" spans="8:8" x14ac:dyDescent="0.2">
      <c r="H1591" s="2"/>
    </row>
    <row r="1592" spans="8:8" x14ac:dyDescent="0.2">
      <c r="H1592" s="2"/>
    </row>
    <row r="1593" spans="8:8" x14ac:dyDescent="0.2">
      <c r="H1593" s="2"/>
    </row>
    <row r="1594" spans="8:8" x14ac:dyDescent="0.2">
      <c r="H1594" s="2"/>
    </row>
    <row r="1595" spans="8:8" x14ac:dyDescent="0.2">
      <c r="H1595" s="2"/>
    </row>
    <row r="1596" spans="8:8" x14ac:dyDescent="0.2">
      <c r="H1596" s="2"/>
    </row>
    <row r="1597" spans="8:8" x14ac:dyDescent="0.2">
      <c r="H1597" s="2"/>
    </row>
    <row r="1598" spans="8:8" x14ac:dyDescent="0.2">
      <c r="H1598" s="2"/>
    </row>
    <row r="1599" spans="8:8" x14ac:dyDescent="0.2">
      <c r="H1599" s="2"/>
    </row>
    <row r="1600" spans="8:8" x14ac:dyDescent="0.2">
      <c r="H1600" s="2"/>
    </row>
    <row r="1601" spans="8:8" x14ac:dyDescent="0.2">
      <c r="H1601" s="2"/>
    </row>
    <row r="1602" spans="8:8" x14ac:dyDescent="0.2">
      <c r="H1602" s="2"/>
    </row>
    <row r="1603" spans="8:8" x14ac:dyDescent="0.2">
      <c r="H1603" s="2"/>
    </row>
    <row r="1604" spans="8:8" x14ac:dyDescent="0.2">
      <c r="H1604" s="2"/>
    </row>
    <row r="1605" spans="8:8" x14ac:dyDescent="0.2">
      <c r="H1605" s="2"/>
    </row>
    <row r="1606" spans="8:8" x14ac:dyDescent="0.2">
      <c r="H1606" s="2"/>
    </row>
    <row r="1607" spans="8:8" x14ac:dyDescent="0.2">
      <c r="H1607" s="2"/>
    </row>
    <row r="1608" spans="8:8" x14ac:dyDescent="0.2">
      <c r="H1608" s="2"/>
    </row>
    <row r="1609" spans="8:8" x14ac:dyDescent="0.2">
      <c r="H1609" s="2"/>
    </row>
    <row r="1610" spans="8:8" x14ac:dyDescent="0.2">
      <c r="H1610" s="2"/>
    </row>
    <row r="1611" spans="8:8" x14ac:dyDescent="0.2">
      <c r="H1611" s="2"/>
    </row>
    <row r="1612" spans="8:8" x14ac:dyDescent="0.2">
      <c r="H1612" s="2"/>
    </row>
    <row r="1613" spans="8:8" x14ac:dyDescent="0.2">
      <c r="H1613" s="2"/>
    </row>
    <row r="1614" spans="8:8" x14ac:dyDescent="0.2">
      <c r="H1614" s="2"/>
    </row>
    <row r="1615" spans="8:8" x14ac:dyDescent="0.2">
      <c r="H1615" s="2"/>
    </row>
    <row r="1616" spans="8:8" x14ac:dyDescent="0.2">
      <c r="H1616" s="2"/>
    </row>
    <row r="1617" spans="8:8" x14ac:dyDescent="0.2">
      <c r="H1617" s="2"/>
    </row>
    <row r="1618" spans="8:8" x14ac:dyDescent="0.2">
      <c r="H1618" s="2"/>
    </row>
    <row r="1619" spans="8:8" x14ac:dyDescent="0.2">
      <c r="H1619" s="2"/>
    </row>
    <row r="1620" spans="8:8" x14ac:dyDescent="0.2">
      <c r="H1620" s="2"/>
    </row>
    <row r="1621" spans="8:8" x14ac:dyDescent="0.2">
      <c r="H1621" s="2"/>
    </row>
    <row r="1622" spans="8:8" x14ac:dyDescent="0.2">
      <c r="H1622" s="2"/>
    </row>
    <row r="1623" spans="8:8" x14ac:dyDescent="0.2">
      <c r="H1623" s="2"/>
    </row>
    <row r="1624" spans="8:8" x14ac:dyDescent="0.2">
      <c r="H1624" s="2"/>
    </row>
    <row r="1625" spans="8:8" x14ac:dyDescent="0.2">
      <c r="H1625" s="2"/>
    </row>
    <row r="1626" spans="8:8" x14ac:dyDescent="0.2">
      <c r="H1626" s="2"/>
    </row>
    <row r="1627" spans="8:8" x14ac:dyDescent="0.2">
      <c r="H1627" s="2"/>
    </row>
    <row r="1628" spans="8:8" x14ac:dyDescent="0.2">
      <c r="H1628" s="2"/>
    </row>
    <row r="1629" spans="8:8" x14ac:dyDescent="0.2">
      <c r="H1629" s="2"/>
    </row>
    <row r="1630" spans="8:8" x14ac:dyDescent="0.2">
      <c r="H1630" s="2"/>
    </row>
    <row r="1631" spans="8:8" x14ac:dyDescent="0.2">
      <c r="H1631" s="2"/>
    </row>
    <row r="1632" spans="8:8" x14ac:dyDescent="0.2">
      <c r="H1632" s="2"/>
    </row>
    <row r="1633" spans="8:8" x14ac:dyDescent="0.2">
      <c r="H1633" s="2"/>
    </row>
    <row r="1634" spans="8:8" x14ac:dyDescent="0.2">
      <c r="H1634" s="2"/>
    </row>
    <row r="1635" spans="8:8" x14ac:dyDescent="0.2">
      <c r="H1635" s="2"/>
    </row>
    <row r="1636" spans="8:8" x14ac:dyDescent="0.2">
      <c r="H1636" s="2"/>
    </row>
    <row r="1637" spans="8:8" x14ac:dyDescent="0.2">
      <c r="H1637" s="2"/>
    </row>
    <row r="1638" spans="8:8" x14ac:dyDescent="0.2">
      <c r="H1638" s="2"/>
    </row>
    <row r="1639" spans="8:8" x14ac:dyDescent="0.2">
      <c r="H1639" s="2"/>
    </row>
    <row r="1640" spans="8:8" x14ac:dyDescent="0.2">
      <c r="H1640" s="2"/>
    </row>
    <row r="1641" spans="8:8" x14ac:dyDescent="0.2">
      <c r="H1641" s="2"/>
    </row>
    <row r="1642" spans="8:8" x14ac:dyDescent="0.2">
      <c r="H1642" s="2"/>
    </row>
    <row r="1643" spans="8:8" x14ac:dyDescent="0.2">
      <c r="H1643" s="2"/>
    </row>
    <row r="1644" spans="8:8" x14ac:dyDescent="0.2">
      <c r="H1644" s="2"/>
    </row>
    <row r="1645" spans="8:8" x14ac:dyDescent="0.2">
      <c r="H1645" s="2"/>
    </row>
    <row r="1646" spans="8:8" x14ac:dyDescent="0.2">
      <c r="H1646" s="2"/>
    </row>
    <row r="1647" spans="8:8" x14ac:dyDescent="0.2">
      <c r="H1647" s="2"/>
    </row>
    <row r="1648" spans="8:8" x14ac:dyDescent="0.2">
      <c r="H1648" s="2"/>
    </row>
    <row r="1649" spans="8:8" x14ac:dyDescent="0.2">
      <c r="H1649" s="2"/>
    </row>
    <row r="1650" spans="8:8" x14ac:dyDescent="0.2">
      <c r="H1650" s="2"/>
    </row>
    <row r="1651" spans="8:8" x14ac:dyDescent="0.2">
      <c r="H1651" s="2"/>
    </row>
    <row r="1652" spans="8:8" x14ac:dyDescent="0.2">
      <c r="H1652" s="2"/>
    </row>
    <row r="1653" spans="8:8" x14ac:dyDescent="0.2">
      <c r="H1653" s="2"/>
    </row>
    <row r="1654" spans="8:8" x14ac:dyDescent="0.2">
      <c r="H1654" s="2"/>
    </row>
    <row r="1655" spans="8:8" x14ac:dyDescent="0.2">
      <c r="H1655" s="2"/>
    </row>
    <row r="1656" spans="8:8" x14ac:dyDescent="0.2">
      <c r="H1656" s="2"/>
    </row>
    <row r="1657" spans="8:8" x14ac:dyDescent="0.2">
      <c r="H1657" s="2"/>
    </row>
    <row r="1658" spans="8:8" x14ac:dyDescent="0.2">
      <c r="H1658" s="2"/>
    </row>
    <row r="1659" spans="8:8" x14ac:dyDescent="0.2">
      <c r="H1659" s="2"/>
    </row>
    <row r="1660" spans="8:8" x14ac:dyDescent="0.2">
      <c r="H1660" s="2"/>
    </row>
    <row r="1661" spans="8:8" x14ac:dyDescent="0.2">
      <c r="H1661" s="2"/>
    </row>
    <row r="1662" spans="8:8" x14ac:dyDescent="0.2">
      <c r="H1662" s="2"/>
    </row>
    <row r="1663" spans="8:8" x14ac:dyDescent="0.2">
      <c r="H1663" s="2"/>
    </row>
    <row r="1664" spans="8:8" x14ac:dyDescent="0.2">
      <c r="H1664" s="2"/>
    </row>
    <row r="1665" spans="8:8" x14ac:dyDescent="0.2">
      <c r="H1665" s="2"/>
    </row>
    <row r="1666" spans="8:8" x14ac:dyDescent="0.2">
      <c r="H1666" s="2"/>
    </row>
    <row r="1667" spans="8:8" x14ac:dyDescent="0.2">
      <c r="H1667" s="2"/>
    </row>
    <row r="1668" spans="8:8" x14ac:dyDescent="0.2">
      <c r="H1668" s="2"/>
    </row>
    <row r="1669" spans="8:8" x14ac:dyDescent="0.2">
      <c r="H1669" s="2"/>
    </row>
    <row r="1670" spans="8:8" x14ac:dyDescent="0.2">
      <c r="H1670" s="2"/>
    </row>
    <row r="1671" spans="8:8" x14ac:dyDescent="0.2">
      <c r="H1671" s="2"/>
    </row>
    <row r="1672" spans="8:8" x14ac:dyDescent="0.2">
      <c r="H1672" s="2"/>
    </row>
    <row r="1673" spans="8:8" x14ac:dyDescent="0.2">
      <c r="H1673" s="2"/>
    </row>
    <row r="1674" spans="8:8" x14ac:dyDescent="0.2">
      <c r="H1674" s="2"/>
    </row>
    <row r="1675" spans="8:8" x14ac:dyDescent="0.2">
      <c r="H1675" s="2"/>
    </row>
    <row r="1676" spans="8:8" x14ac:dyDescent="0.2">
      <c r="H1676" s="2"/>
    </row>
    <row r="1677" spans="8:8" x14ac:dyDescent="0.2">
      <c r="H1677" s="2"/>
    </row>
    <row r="1678" spans="8:8" x14ac:dyDescent="0.2">
      <c r="H1678" s="2"/>
    </row>
    <row r="1679" spans="8:8" x14ac:dyDescent="0.2">
      <c r="H1679" s="2"/>
    </row>
    <row r="1680" spans="8:8" x14ac:dyDescent="0.2">
      <c r="H1680" s="2"/>
    </row>
    <row r="1681" spans="8:8" x14ac:dyDescent="0.2">
      <c r="H1681" s="2"/>
    </row>
    <row r="1682" spans="8:8" x14ac:dyDescent="0.2">
      <c r="H1682" s="2"/>
    </row>
    <row r="1683" spans="8:8" x14ac:dyDescent="0.2">
      <c r="H1683" s="2"/>
    </row>
    <row r="1684" spans="8:8" x14ac:dyDescent="0.2">
      <c r="H1684" s="2"/>
    </row>
    <row r="1685" spans="8:8" x14ac:dyDescent="0.2">
      <c r="H1685" s="2"/>
    </row>
    <row r="1686" spans="8:8" x14ac:dyDescent="0.2">
      <c r="H1686" s="2"/>
    </row>
    <row r="1687" spans="8:8" x14ac:dyDescent="0.2">
      <c r="H1687" s="2"/>
    </row>
    <row r="1688" spans="8:8" x14ac:dyDescent="0.2">
      <c r="H1688" s="2"/>
    </row>
    <row r="1689" spans="8:8" x14ac:dyDescent="0.2">
      <c r="H1689" s="2"/>
    </row>
    <row r="1690" spans="8:8" x14ac:dyDescent="0.2">
      <c r="H1690" s="2"/>
    </row>
    <row r="1691" spans="8:8" x14ac:dyDescent="0.2">
      <c r="H1691" s="2"/>
    </row>
    <row r="1692" spans="8:8" x14ac:dyDescent="0.2">
      <c r="H1692" s="2"/>
    </row>
    <row r="1693" spans="8:8" x14ac:dyDescent="0.2">
      <c r="H1693" s="2"/>
    </row>
    <row r="1694" spans="8:8" x14ac:dyDescent="0.2">
      <c r="H1694" s="2"/>
    </row>
    <row r="1695" spans="8:8" x14ac:dyDescent="0.2">
      <c r="H1695" s="2"/>
    </row>
    <row r="1696" spans="8:8" x14ac:dyDescent="0.2">
      <c r="H1696" s="2"/>
    </row>
    <row r="1697" spans="8:8" x14ac:dyDescent="0.2">
      <c r="H1697" s="2"/>
    </row>
    <row r="1698" spans="8:8" x14ac:dyDescent="0.2">
      <c r="H1698" s="2"/>
    </row>
    <row r="1699" spans="8:8" x14ac:dyDescent="0.2">
      <c r="H1699" s="2"/>
    </row>
    <row r="1700" spans="8:8" x14ac:dyDescent="0.2">
      <c r="H1700" s="2"/>
    </row>
    <row r="1701" spans="8:8" x14ac:dyDescent="0.2">
      <c r="H1701" s="2"/>
    </row>
    <row r="1702" spans="8:8" x14ac:dyDescent="0.2">
      <c r="H1702" s="2"/>
    </row>
    <row r="1703" spans="8:8" x14ac:dyDescent="0.2">
      <c r="H1703" s="2"/>
    </row>
    <row r="1704" spans="8:8" x14ac:dyDescent="0.2">
      <c r="H1704" s="2"/>
    </row>
    <row r="1705" spans="8:8" x14ac:dyDescent="0.2">
      <c r="H1705" s="2"/>
    </row>
    <row r="1706" spans="8:8" x14ac:dyDescent="0.2">
      <c r="H1706" s="2"/>
    </row>
    <row r="1707" spans="8:8" x14ac:dyDescent="0.2">
      <c r="H1707" s="2"/>
    </row>
    <row r="1708" spans="8:8" x14ac:dyDescent="0.2">
      <c r="H1708" s="2"/>
    </row>
    <row r="1709" spans="8:8" x14ac:dyDescent="0.2">
      <c r="H1709" s="2"/>
    </row>
    <row r="1710" spans="8:8" x14ac:dyDescent="0.2">
      <c r="H1710" s="2"/>
    </row>
    <row r="1711" spans="8:8" x14ac:dyDescent="0.2">
      <c r="H1711" s="2"/>
    </row>
    <row r="1712" spans="8:8" x14ac:dyDescent="0.2">
      <c r="H1712" s="2"/>
    </row>
    <row r="1713" spans="8:8" x14ac:dyDescent="0.2">
      <c r="H1713" s="2"/>
    </row>
    <row r="1714" spans="8:8" x14ac:dyDescent="0.2">
      <c r="H1714" s="2"/>
    </row>
    <row r="1715" spans="8:8" x14ac:dyDescent="0.2">
      <c r="H1715" s="2"/>
    </row>
    <row r="1716" spans="8:8" x14ac:dyDescent="0.2">
      <c r="H1716" s="2"/>
    </row>
    <row r="1717" spans="8:8" x14ac:dyDescent="0.2">
      <c r="H1717" s="2"/>
    </row>
    <row r="1718" spans="8:8" x14ac:dyDescent="0.2">
      <c r="H1718" s="2"/>
    </row>
    <row r="1719" spans="8:8" x14ac:dyDescent="0.2">
      <c r="H1719" s="2"/>
    </row>
    <row r="1720" spans="8:8" x14ac:dyDescent="0.2">
      <c r="H1720" s="2"/>
    </row>
    <row r="1721" spans="8:8" x14ac:dyDescent="0.2">
      <c r="H1721" s="2"/>
    </row>
    <row r="1722" spans="8:8" x14ac:dyDescent="0.2">
      <c r="H1722" s="2"/>
    </row>
    <row r="1723" spans="8:8" x14ac:dyDescent="0.2">
      <c r="H1723" s="2"/>
    </row>
    <row r="1724" spans="8:8" x14ac:dyDescent="0.2">
      <c r="H1724" s="2"/>
    </row>
    <row r="1725" spans="8:8" x14ac:dyDescent="0.2">
      <c r="H1725" s="2"/>
    </row>
    <row r="1726" spans="8:8" x14ac:dyDescent="0.2">
      <c r="H1726" s="2"/>
    </row>
    <row r="1727" spans="8:8" x14ac:dyDescent="0.2">
      <c r="H1727" s="2"/>
    </row>
    <row r="1728" spans="8:8" x14ac:dyDescent="0.2">
      <c r="H1728" s="2"/>
    </row>
    <row r="1729" spans="8:8" x14ac:dyDescent="0.2">
      <c r="H1729" s="2"/>
    </row>
    <row r="1730" spans="8:8" x14ac:dyDescent="0.2">
      <c r="H1730" s="2"/>
    </row>
    <row r="1731" spans="8:8" x14ac:dyDescent="0.2">
      <c r="H1731" s="2"/>
    </row>
    <row r="1732" spans="8:8" x14ac:dyDescent="0.2">
      <c r="H1732" s="2"/>
    </row>
    <row r="1733" spans="8:8" x14ac:dyDescent="0.2">
      <c r="H1733" s="2"/>
    </row>
    <row r="1734" spans="8:8" x14ac:dyDescent="0.2">
      <c r="H1734" s="2"/>
    </row>
    <row r="1735" spans="8:8" x14ac:dyDescent="0.2">
      <c r="H1735" s="2"/>
    </row>
    <row r="1736" spans="8:8" x14ac:dyDescent="0.2">
      <c r="H1736" s="2"/>
    </row>
    <row r="1737" spans="8:8" x14ac:dyDescent="0.2">
      <c r="H1737" s="2"/>
    </row>
    <row r="1738" spans="8:8" x14ac:dyDescent="0.2">
      <c r="H1738" s="2"/>
    </row>
    <row r="1739" spans="8:8" x14ac:dyDescent="0.2">
      <c r="H1739" s="2"/>
    </row>
    <row r="1740" spans="8:8" x14ac:dyDescent="0.2">
      <c r="H1740" s="2"/>
    </row>
    <row r="1741" spans="8:8" x14ac:dyDescent="0.2">
      <c r="H1741" s="2"/>
    </row>
    <row r="1742" spans="8:8" x14ac:dyDescent="0.2">
      <c r="H1742" s="2"/>
    </row>
    <row r="1743" spans="8:8" x14ac:dyDescent="0.2">
      <c r="H1743" s="2"/>
    </row>
    <row r="1744" spans="8:8" x14ac:dyDescent="0.2">
      <c r="H1744" s="2"/>
    </row>
    <row r="1745" spans="8:8" x14ac:dyDescent="0.2">
      <c r="H1745" s="2"/>
    </row>
    <row r="1746" spans="8:8" x14ac:dyDescent="0.2">
      <c r="H1746" s="2"/>
    </row>
    <row r="1747" spans="8:8" x14ac:dyDescent="0.2">
      <c r="H1747" s="2"/>
    </row>
    <row r="1748" spans="8:8" x14ac:dyDescent="0.2">
      <c r="H1748" s="2"/>
    </row>
    <row r="1749" spans="8:8" x14ac:dyDescent="0.2">
      <c r="H1749" s="2"/>
    </row>
    <row r="1750" spans="8:8" x14ac:dyDescent="0.2">
      <c r="H1750" s="2"/>
    </row>
    <row r="1751" spans="8:8" x14ac:dyDescent="0.2">
      <c r="H1751" s="2"/>
    </row>
    <row r="1752" spans="8:8" x14ac:dyDescent="0.2">
      <c r="H1752" s="2"/>
    </row>
    <row r="1753" spans="8:8" x14ac:dyDescent="0.2">
      <c r="H1753" s="2"/>
    </row>
    <row r="1754" spans="8:8" x14ac:dyDescent="0.2">
      <c r="H1754" s="2"/>
    </row>
    <row r="1755" spans="8:8" x14ac:dyDescent="0.2">
      <c r="H1755" s="2"/>
    </row>
    <row r="1756" spans="8:8" x14ac:dyDescent="0.2">
      <c r="H1756" s="2"/>
    </row>
    <row r="1757" spans="8:8" x14ac:dyDescent="0.2">
      <c r="H1757" s="2"/>
    </row>
    <row r="1758" spans="8:8" x14ac:dyDescent="0.2">
      <c r="H1758" s="2"/>
    </row>
    <row r="1759" spans="8:8" x14ac:dyDescent="0.2">
      <c r="H1759" s="2"/>
    </row>
    <row r="1760" spans="8:8" x14ac:dyDescent="0.2">
      <c r="H1760" s="2"/>
    </row>
    <row r="1761" spans="8:8" x14ac:dyDescent="0.2">
      <c r="H1761" s="2"/>
    </row>
    <row r="1762" spans="8:8" x14ac:dyDescent="0.2">
      <c r="H1762" s="2"/>
    </row>
    <row r="1763" spans="8:8" x14ac:dyDescent="0.2">
      <c r="H1763" s="2"/>
    </row>
    <row r="1764" spans="8:8" x14ac:dyDescent="0.2">
      <c r="H1764" s="2"/>
    </row>
    <row r="1765" spans="8:8" x14ac:dyDescent="0.2">
      <c r="H1765" s="2"/>
    </row>
    <row r="1766" spans="8:8" x14ac:dyDescent="0.2">
      <c r="H1766" s="2"/>
    </row>
    <row r="1767" spans="8:8" x14ac:dyDescent="0.2">
      <c r="H1767" s="2"/>
    </row>
    <row r="1768" spans="8:8" x14ac:dyDescent="0.2">
      <c r="H1768" s="2"/>
    </row>
    <row r="1769" spans="8:8" x14ac:dyDescent="0.2">
      <c r="H1769" s="2"/>
    </row>
    <row r="1770" spans="8:8" x14ac:dyDescent="0.2">
      <c r="H1770" s="2"/>
    </row>
    <row r="1771" spans="8:8" x14ac:dyDescent="0.2">
      <c r="H1771" s="2"/>
    </row>
    <row r="1772" spans="8:8" x14ac:dyDescent="0.2">
      <c r="H1772" s="2"/>
    </row>
    <row r="1773" spans="8:8" x14ac:dyDescent="0.2">
      <c r="H1773" s="2"/>
    </row>
    <row r="1774" spans="8:8" x14ac:dyDescent="0.2">
      <c r="H1774" s="2"/>
    </row>
    <row r="1775" spans="8:8" x14ac:dyDescent="0.2">
      <c r="H1775" s="2"/>
    </row>
    <row r="1776" spans="8:8" x14ac:dyDescent="0.2">
      <c r="H1776" s="2"/>
    </row>
    <row r="1777" spans="8:8" x14ac:dyDescent="0.2">
      <c r="H1777" s="2"/>
    </row>
    <row r="1778" spans="8:8" x14ac:dyDescent="0.2">
      <c r="H1778" s="2"/>
    </row>
    <row r="1779" spans="8:8" x14ac:dyDescent="0.2">
      <c r="H1779" s="2"/>
    </row>
    <row r="1780" spans="8:8" x14ac:dyDescent="0.2">
      <c r="H1780" s="2"/>
    </row>
    <row r="1781" spans="8:8" x14ac:dyDescent="0.2">
      <c r="H1781" s="2"/>
    </row>
    <row r="1782" spans="8:8" x14ac:dyDescent="0.2">
      <c r="H1782" s="2"/>
    </row>
    <row r="1783" spans="8:8" x14ac:dyDescent="0.2">
      <c r="H1783" s="2"/>
    </row>
    <row r="1784" spans="8:8" x14ac:dyDescent="0.2">
      <c r="H1784" s="2"/>
    </row>
    <row r="1785" spans="8:8" x14ac:dyDescent="0.2">
      <c r="H1785" s="2"/>
    </row>
    <row r="1786" spans="8:8" x14ac:dyDescent="0.2">
      <c r="H1786" s="2"/>
    </row>
    <row r="1787" spans="8:8" x14ac:dyDescent="0.2">
      <c r="H1787" s="2"/>
    </row>
    <row r="1788" spans="8:8" x14ac:dyDescent="0.2">
      <c r="H1788" s="2"/>
    </row>
    <row r="1789" spans="8:8" x14ac:dyDescent="0.2">
      <c r="H1789" s="2"/>
    </row>
    <row r="1790" spans="8:8" x14ac:dyDescent="0.2">
      <c r="H1790" s="2"/>
    </row>
    <row r="1791" spans="8:8" x14ac:dyDescent="0.2">
      <c r="H1791" s="2"/>
    </row>
    <row r="1792" spans="8:8" x14ac:dyDescent="0.2">
      <c r="H1792" s="2"/>
    </row>
    <row r="1793" spans="8:8" x14ac:dyDescent="0.2">
      <c r="H1793" s="2"/>
    </row>
    <row r="1794" spans="8:8" x14ac:dyDescent="0.2">
      <c r="H1794" s="2"/>
    </row>
    <row r="1795" spans="8:8" x14ac:dyDescent="0.2">
      <c r="H1795" s="2"/>
    </row>
    <row r="1796" spans="8:8" x14ac:dyDescent="0.2">
      <c r="H1796" s="2"/>
    </row>
    <row r="1797" spans="8:8" x14ac:dyDescent="0.2">
      <c r="H1797" s="2"/>
    </row>
    <row r="1798" spans="8:8" x14ac:dyDescent="0.2">
      <c r="H1798" s="2"/>
    </row>
    <row r="1799" spans="8:8" x14ac:dyDescent="0.2">
      <c r="H1799" s="2"/>
    </row>
    <row r="1800" spans="8:8" x14ac:dyDescent="0.2">
      <c r="H1800" s="2"/>
    </row>
    <row r="1801" spans="8:8" x14ac:dyDescent="0.2">
      <c r="H1801" s="2"/>
    </row>
    <row r="1802" spans="8:8" x14ac:dyDescent="0.2">
      <c r="H1802" s="2"/>
    </row>
    <row r="1803" spans="8:8" x14ac:dyDescent="0.2">
      <c r="H1803" s="2"/>
    </row>
    <row r="1804" spans="8:8" x14ac:dyDescent="0.2">
      <c r="H1804" s="2"/>
    </row>
    <row r="1805" spans="8:8" x14ac:dyDescent="0.2">
      <c r="H1805" s="2"/>
    </row>
    <row r="1806" spans="8:8" x14ac:dyDescent="0.2">
      <c r="H1806" s="2"/>
    </row>
    <row r="1807" spans="8:8" x14ac:dyDescent="0.2">
      <c r="H1807" s="2"/>
    </row>
    <row r="1808" spans="8:8" x14ac:dyDescent="0.2">
      <c r="H1808" s="2"/>
    </row>
    <row r="1809" spans="8:8" x14ac:dyDescent="0.2">
      <c r="H1809" s="2"/>
    </row>
    <row r="1810" spans="8:8" x14ac:dyDescent="0.2">
      <c r="H1810" s="2"/>
    </row>
    <row r="1811" spans="8:8" x14ac:dyDescent="0.2">
      <c r="H1811" s="2"/>
    </row>
    <row r="1812" spans="8:8" x14ac:dyDescent="0.2">
      <c r="H1812" s="2"/>
    </row>
    <row r="1813" spans="8:8" x14ac:dyDescent="0.2">
      <c r="H1813" s="2"/>
    </row>
    <row r="1814" spans="8:8" x14ac:dyDescent="0.2">
      <c r="H1814" s="2"/>
    </row>
    <row r="1815" spans="8:8" x14ac:dyDescent="0.2">
      <c r="H1815" s="2"/>
    </row>
    <row r="1816" spans="8:8" x14ac:dyDescent="0.2">
      <c r="H1816" s="2"/>
    </row>
    <row r="1817" spans="8:8" x14ac:dyDescent="0.2">
      <c r="H1817" s="2"/>
    </row>
    <row r="1818" spans="8:8" x14ac:dyDescent="0.2">
      <c r="H1818" s="2"/>
    </row>
    <row r="1819" spans="8:8" x14ac:dyDescent="0.2">
      <c r="H1819" s="2"/>
    </row>
    <row r="1820" spans="8:8" x14ac:dyDescent="0.2">
      <c r="H1820" s="2"/>
    </row>
    <row r="1821" spans="8:8" x14ac:dyDescent="0.2">
      <c r="H1821" s="2"/>
    </row>
    <row r="1822" spans="8:8" x14ac:dyDescent="0.2">
      <c r="H1822" s="2"/>
    </row>
    <row r="1823" spans="8:8" x14ac:dyDescent="0.2">
      <c r="H1823" s="2"/>
    </row>
    <row r="1824" spans="8:8" x14ac:dyDescent="0.2">
      <c r="H1824" s="2"/>
    </row>
    <row r="1825" spans="8:8" x14ac:dyDescent="0.2">
      <c r="H1825" s="2"/>
    </row>
    <row r="1826" spans="8:8" x14ac:dyDescent="0.2">
      <c r="H1826" s="2"/>
    </row>
    <row r="1827" spans="8:8" x14ac:dyDescent="0.2">
      <c r="H1827" s="2"/>
    </row>
    <row r="1828" spans="8:8" x14ac:dyDescent="0.2">
      <c r="H1828" s="2"/>
    </row>
    <row r="1829" spans="8:8" x14ac:dyDescent="0.2">
      <c r="H1829" s="2"/>
    </row>
    <row r="1830" spans="8:8" x14ac:dyDescent="0.2">
      <c r="H1830" s="2"/>
    </row>
    <row r="1831" spans="8:8" x14ac:dyDescent="0.2">
      <c r="H1831" s="2"/>
    </row>
    <row r="1832" spans="8:8" x14ac:dyDescent="0.2">
      <c r="H1832" s="2"/>
    </row>
    <row r="1833" spans="8:8" x14ac:dyDescent="0.2">
      <c r="H1833" s="2"/>
    </row>
    <row r="1834" spans="8:8" x14ac:dyDescent="0.2">
      <c r="H1834" s="2"/>
    </row>
    <row r="1835" spans="8:8" x14ac:dyDescent="0.2">
      <c r="H1835" s="2"/>
    </row>
    <row r="1836" spans="8:8" x14ac:dyDescent="0.2">
      <c r="H1836" s="2"/>
    </row>
    <row r="1837" spans="8:8" x14ac:dyDescent="0.2">
      <c r="H1837" s="2"/>
    </row>
    <row r="1838" spans="8:8" x14ac:dyDescent="0.2">
      <c r="H1838" s="2"/>
    </row>
    <row r="1839" spans="8:8" x14ac:dyDescent="0.2">
      <c r="H1839" s="2"/>
    </row>
    <row r="1840" spans="8:8" x14ac:dyDescent="0.2">
      <c r="H1840" s="2"/>
    </row>
    <row r="1841" spans="8:8" x14ac:dyDescent="0.2">
      <c r="H1841" s="2"/>
    </row>
    <row r="1842" spans="8:8" x14ac:dyDescent="0.2">
      <c r="H1842" s="2"/>
    </row>
    <row r="1843" spans="8:8" x14ac:dyDescent="0.2">
      <c r="H1843" s="2"/>
    </row>
    <row r="1844" spans="8:8" x14ac:dyDescent="0.2">
      <c r="H1844" s="2"/>
    </row>
    <row r="1845" spans="8:8" x14ac:dyDescent="0.2">
      <c r="H1845" s="2"/>
    </row>
    <row r="1846" spans="8:8" x14ac:dyDescent="0.2">
      <c r="H1846" s="2"/>
    </row>
    <row r="1847" spans="8:8" x14ac:dyDescent="0.2">
      <c r="H1847" s="2"/>
    </row>
    <row r="1848" spans="8:8" x14ac:dyDescent="0.2">
      <c r="H1848" s="2"/>
    </row>
    <row r="1849" spans="8:8" x14ac:dyDescent="0.2">
      <c r="H1849" s="2"/>
    </row>
    <row r="1850" spans="8:8" x14ac:dyDescent="0.2">
      <c r="H1850" s="2"/>
    </row>
    <row r="1851" spans="8:8" x14ac:dyDescent="0.2">
      <c r="H1851" s="2"/>
    </row>
    <row r="1852" spans="8:8" x14ac:dyDescent="0.2">
      <c r="H1852" s="2"/>
    </row>
    <row r="1853" spans="8:8" x14ac:dyDescent="0.2">
      <c r="H1853" s="2"/>
    </row>
    <row r="1854" spans="8:8" x14ac:dyDescent="0.2">
      <c r="H1854" s="2"/>
    </row>
    <row r="1855" spans="8:8" x14ac:dyDescent="0.2">
      <c r="H1855" s="2"/>
    </row>
    <row r="1856" spans="8:8" x14ac:dyDescent="0.2">
      <c r="H1856" s="2"/>
    </row>
    <row r="1857" spans="8:8" x14ac:dyDescent="0.2">
      <c r="H1857" s="2"/>
    </row>
    <row r="1858" spans="8:8" x14ac:dyDescent="0.2">
      <c r="H1858" s="2"/>
    </row>
    <row r="1859" spans="8:8" x14ac:dyDescent="0.2">
      <c r="H1859" s="2"/>
    </row>
    <row r="1860" spans="8:8" x14ac:dyDescent="0.2">
      <c r="H1860" s="2"/>
    </row>
    <row r="1861" spans="8:8" x14ac:dyDescent="0.2">
      <c r="H1861" s="2"/>
    </row>
    <row r="1862" spans="8:8" x14ac:dyDescent="0.2">
      <c r="H1862" s="2"/>
    </row>
    <row r="1863" spans="8:8" x14ac:dyDescent="0.2">
      <c r="H1863" s="2"/>
    </row>
    <row r="1864" spans="8:8" x14ac:dyDescent="0.2">
      <c r="H1864" s="2"/>
    </row>
    <row r="1865" spans="8:8" x14ac:dyDescent="0.2">
      <c r="H1865" s="2"/>
    </row>
    <row r="1866" spans="8:8" x14ac:dyDescent="0.2">
      <c r="H1866" s="2"/>
    </row>
    <row r="1867" spans="8:8" x14ac:dyDescent="0.2">
      <c r="H1867" s="2"/>
    </row>
    <row r="1868" spans="8:8" x14ac:dyDescent="0.2">
      <c r="H1868" s="2"/>
    </row>
    <row r="1869" spans="8:8" x14ac:dyDescent="0.2">
      <c r="H1869" s="2"/>
    </row>
    <row r="1870" spans="8:8" x14ac:dyDescent="0.2">
      <c r="H1870" s="2"/>
    </row>
    <row r="1871" spans="8:8" x14ac:dyDescent="0.2">
      <c r="H1871" s="2"/>
    </row>
    <row r="1872" spans="8:8" x14ac:dyDescent="0.2">
      <c r="H1872" s="2"/>
    </row>
    <row r="1873" spans="8:8" x14ac:dyDescent="0.2">
      <c r="H1873" s="2"/>
    </row>
    <row r="1874" spans="8:8" x14ac:dyDescent="0.2">
      <c r="H1874" s="2"/>
    </row>
    <row r="1875" spans="8:8" x14ac:dyDescent="0.2">
      <c r="H1875" s="2"/>
    </row>
    <row r="1876" spans="8:8" x14ac:dyDescent="0.2">
      <c r="H1876" s="2"/>
    </row>
    <row r="1877" spans="8:8" x14ac:dyDescent="0.2">
      <c r="H1877" s="2"/>
    </row>
    <row r="1878" spans="8:8" x14ac:dyDescent="0.2">
      <c r="H1878" s="2"/>
    </row>
    <row r="1879" spans="8:8" x14ac:dyDescent="0.2">
      <c r="H1879" s="2"/>
    </row>
    <row r="1880" spans="8:8" x14ac:dyDescent="0.2">
      <c r="H1880" s="2"/>
    </row>
    <row r="1881" spans="8:8" x14ac:dyDescent="0.2">
      <c r="H1881" s="2"/>
    </row>
    <row r="1882" spans="8:8" x14ac:dyDescent="0.2">
      <c r="H1882" s="2"/>
    </row>
    <row r="1883" spans="8:8" x14ac:dyDescent="0.2">
      <c r="H1883" s="2"/>
    </row>
    <row r="1884" spans="8:8" x14ac:dyDescent="0.2">
      <c r="H1884" s="2"/>
    </row>
    <row r="1885" spans="8:8" x14ac:dyDescent="0.2">
      <c r="H1885" s="2"/>
    </row>
    <row r="1886" spans="8:8" x14ac:dyDescent="0.2">
      <c r="H1886" s="2"/>
    </row>
    <row r="1887" spans="8:8" x14ac:dyDescent="0.2">
      <c r="H1887" s="2"/>
    </row>
    <row r="1888" spans="8:8" x14ac:dyDescent="0.2">
      <c r="H1888" s="2"/>
    </row>
    <row r="1889" spans="8:8" x14ac:dyDescent="0.2">
      <c r="H1889" s="2"/>
    </row>
    <row r="1890" spans="8:8" x14ac:dyDescent="0.2">
      <c r="H1890" s="2"/>
    </row>
    <row r="1891" spans="8:8" x14ac:dyDescent="0.2">
      <c r="H1891" s="2"/>
    </row>
    <row r="1892" spans="8:8" x14ac:dyDescent="0.2">
      <c r="H1892" s="2"/>
    </row>
    <row r="1893" spans="8:8" x14ac:dyDescent="0.2">
      <c r="H1893" s="2"/>
    </row>
    <row r="1894" spans="8:8" x14ac:dyDescent="0.2">
      <c r="H1894" s="2"/>
    </row>
    <row r="1895" spans="8:8" x14ac:dyDescent="0.2">
      <c r="H1895" s="2"/>
    </row>
    <row r="1896" spans="8:8" x14ac:dyDescent="0.2">
      <c r="H1896" s="2"/>
    </row>
    <row r="1897" spans="8:8" x14ac:dyDescent="0.2">
      <c r="H1897" s="2"/>
    </row>
    <row r="1898" spans="8:8" x14ac:dyDescent="0.2">
      <c r="H1898" s="2"/>
    </row>
    <row r="1899" spans="8:8" x14ac:dyDescent="0.2">
      <c r="H1899" s="2"/>
    </row>
    <row r="1900" spans="8:8" x14ac:dyDescent="0.2">
      <c r="H1900" s="2"/>
    </row>
    <row r="1901" spans="8:8" x14ac:dyDescent="0.2">
      <c r="H1901" s="2"/>
    </row>
    <row r="1902" spans="8:8" x14ac:dyDescent="0.2">
      <c r="H1902" s="2"/>
    </row>
    <row r="1903" spans="8:8" x14ac:dyDescent="0.2">
      <c r="H1903" s="2"/>
    </row>
    <row r="1904" spans="8:8" x14ac:dyDescent="0.2">
      <c r="H1904" s="2"/>
    </row>
    <row r="1905" spans="8:8" x14ac:dyDescent="0.2">
      <c r="H1905" s="2"/>
    </row>
    <row r="1906" spans="8:8" x14ac:dyDescent="0.2">
      <c r="H1906" s="2"/>
    </row>
    <row r="1907" spans="8:8" x14ac:dyDescent="0.2">
      <c r="H1907" s="2"/>
    </row>
    <row r="1908" spans="8:8" x14ac:dyDescent="0.2">
      <c r="H1908" s="2"/>
    </row>
    <row r="1909" spans="8:8" x14ac:dyDescent="0.2">
      <c r="H1909" s="2"/>
    </row>
    <row r="1910" spans="8:8" x14ac:dyDescent="0.2">
      <c r="H1910" s="2"/>
    </row>
    <row r="1911" spans="8:8" x14ac:dyDescent="0.2">
      <c r="H1911" s="2"/>
    </row>
    <row r="1912" spans="8:8" x14ac:dyDescent="0.2">
      <c r="H1912" s="2"/>
    </row>
    <row r="1913" spans="8:8" x14ac:dyDescent="0.2">
      <c r="H1913" s="2"/>
    </row>
    <row r="1914" spans="8:8" x14ac:dyDescent="0.2">
      <c r="H1914" s="2"/>
    </row>
    <row r="1915" spans="8:8" x14ac:dyDescent="0.2">
      <c r="H1915" s="2"/>
    </row>
    <row r="1916" spans="8:8" x14ac:dyDescent="0.2">
      <c r="H1916" s="2"/>
    </row>
    <row r="1917" spans="8:8" x14ac:dyDescent="0.2">
      <c r="H1917" s="2"/>
    </row>
    <row r="1918" spans="8:8" x14ac:dyDescent="0.2">
      <c r="H1918" s="2"/>
    </row>
    <row r="1919" spans="8:8" x14ac:dyDescent="0.2">
      <c r="H1919" s="2"/>
    </row>
    <row r="1920" spans="8:8" x14ac:dyDescent="0.2">
      <c r="H1920" s="2"/>
    </row>
    <row r="1921" spans="8:8" x14ac:dyDescent="0.2">
      <c r="H1921" s="2"/>
    </row>
    <row r="1922" spans="8:8" x14ac:dyDescent="0.2">
      <c r="H1922" s="2"/>
    </row>
    <row r="1923" spans="8:8" x14ac:dyDescent="0.2">
      <c r="H1923" s="2"/>
    </row>
    <row r="1924" spans="8:8" x14ac:dyDescent="0.2">
      <c r="H1924" s="2"/>
    </row>
    <row r="1925" spans="8:8" x14ac:dyDescent="0.2">
      <c r="H1925" s="2"/>
    </row>
    <row r="1926" spans="8:8" x14ac:dyDescent="0.2">
      <c r="H1926" s="2"/>
    </row>
    <row r="1927" spans="8:8" x14ac:dyDescent="0.2">
      <c r="H1927" s="2"/>
    </row>
    <row r="1928" spans="8:8" x14ac:dyDescent="0.2">
      <c r="H1928" s="2"/>
    </row>
    <row r="1929" spans="8:8" x14ac:dyDescent="0.2">
      <c r="H1929" s="2"/>
    </row>
    <row r="1930" spans="8:8" x14ac:dyDescent="0.2">
      <c r="H1930" s="2"/>
    </row>
    <row r="1931" spans="8:8" x14ac:dyDescent="0.2">
      <c r="H1931" s="2"/>
    </row>
    <row r="1932" spans="8:8" x14ac:dyDescent="0.2">
      <c r="H1932" s="2"/>
    </row>
    <row r="1933" spans="8:8" x14ac:dyDescent="0.2">
      <c r="H1933" s="2"/>
    </row>
    <row r="1934" spans="8:8" x14ac:dyDescent="0.2">
      <c r="H1934" s="2"/>
    </row>
    <row r="1935" spans="8:8" x14ac:dyDescent="0.2">
      <c r="H1935" s="2"/>
    </row>
    <row r="1936" spans="8:8" x14ac:dyDescent="0.2">
      <c r="H1936" s="2"/>
    </row>
    <row r="1937" spans="8:8" x14ac:dyDescent="0.2">
      <c r="H1937" s="2"/>
    </row>
    <row r="1938" spans="8:8" x14ac:dyDescent="0.2">
      <c r="H1938" s="2"/>
    </row>
    <row r="1939" spans="8:8" x14ac:dyDescent="0.2">
      <c r="H1939" s="2"/>
    </row>
    <row r="1940" spans="8:8" x14ac:dyDescent="0.2">
      <c r="H1940" s="2"/>
    </row>
    <row r="1941" spans="8:8" x14ac:dyDescent="0.2">
      <c r="H1941" s="2"/>
    </row>
    <row r="1942" spans="8:8" x14ac:dyDescent="0.2">
      <c r="H1942" s="2"/>
    </row>
    <row r="1943" spans="8:8" x14ac:dyDescent="0.2">
      <c r="H1943" s="2"/>
    </row>
    <row r="1944" spans="8:8" x14ac:dyDescent="0.2">
      <c r="H1944" s="2"/>
    </row>
    <row r="1945" spans="8:8" x14ac:dyDescent="0.2">
      <c r="H1945" s="2"/>
    </row>
    <row r="1946" spans="8:8" x14ac:dyDescent="0.2">
      <c r="H1946" s="2"/>
    </row>
    <row r="1947" spans="8:8" x14ac:dyDescent="0.2">
      <c r="H1947" s="2"/>
    </row>
    <row r="1948" spans="8:8" x14ac:dyDescent="0.2">
      <c r="H1948" s="2"/>
    </row>
    <row r="1949" spans="8:8" x14ac:dyDescent="0.2">
      <c r="H1949" s="2"/>
    </row>
    <row r="1950" spans="8:8" x14ac:dyDescent="0.2">
      <c r="H1950" s="2"/>
    </row>
    <row r="1951" spans="8:8" x14ac:dyDescent="0.2">
      <c r="H1951" s="2"/>
    </row>
    <row r="1952" spans="8:8" x14ac:dyDescent="0.2">
      <c r="H1952" s="2"/>
    </row>
    <row r="1953" spans="8:8" x14ac:dyDescent="0.2">
      <c r="H1953" s="2"/>
    </row>
    <row r="1954" spans="8:8" x14ac:dyDescent="0.2">
      <c r="H1954" s="2"/>
    </row>
    <row r="1955" spans="8:8" x14ac:dyDescent="0.2">
      <c r="H1955" s="2"/>
    </row>
    <row r="1956" spans="8:8" x14ac:dyDescent="0.2">
      <c r="H1956" s="2"/>
    </row>
    <row r="1957" spans="8:8" x14ac:dyDescent="0.2">
      <c r="H1957" s="2"/>
    </row>
    <row r="1958" spans="8:8" x14ac:dyDescent="0.2">
      <c r="H1958" s="2"/>
    </row>
    <row r="1959" spans="8:8" x14ac:dyDescent="0.2">
      <c r="H1959" s="2"/>
    </row>
    <row r="1960" spans="8:8" x14ac:dyDescent="0.2">
      <c r="H1960" s="2"/>
    </row>
    <row r="1961" spans="8:8" x14ac:dyDescent="0.2">
      <c r="H1961" s="2"/>
    </row>
    <row r="1962" spans="8:8" x14ac:dyDescent="0.2">
      <c r="H1962" s="2"/>
    </row>
    <row r="1963" spans="8:8" x14ac:dyDescent="0.2">
      <c r="H1963" s="2"/>
    </row>
    <row r="1964" spans="8:8" x14ac:dyDescent="0.2">
      <c r="H1964" s="2"/>
    </row>
    <row r="1965" spans="8:8" x14ac:dyDescent="0.2">
      <c r="H1965" s="2"/>
    </row>
    <row r="1966" spans="8:8" x14ac:dyDescent="0.2">
      <c r="H1966" s="2"/>
    </row>
    <row r="1967" spans="8:8" x14ac:dyDescent="0.2">
      <c r="H1967" s="2"/>
    </row>
    <row r="1968" spans="8:8" x14ac:dyDescent="0.2">
      <c r="H1968" s="2"/>
    </row>
    <row r="1969" spans="8:8" x14ac:dyDescent="0.2">
      <c r="H1969" s="2"/>
    </row>
    <row r="1970" spans="8:8" x14ac:dyDescent="0.2">
      <c r="H1970" s="2"/>
    </row>
    <row r="1971" spans="8:8" x14ac:dyDescent="0.2">
      <c r="H1971" s="2"/>
    </row>
    <row r="1972" spans="8:8" x14ac:dyDescent="0.2">
      <c r="H1972" s="2"/>
    </row>
    <row r="1973" spans="8:8" x14ac:dyDescent="0.2">
      <c r="H1973" s="2"/>
    </row>
    <row r="1974" spans="8:8" x14ac:dyDescent="0.2">
      <c r="H1974" s="2"/>
    </row>
    <row r="1975" spans="8:8" x14ac:dyDescent="0.2">
      <c r="H1975" s="2"/>
    </row>
    <row r="1976" spans="8:8" x14ac:dyDescent="0.2">
      <c r="H1976" s="2"/>
    </row>
    <row r="1977" spans="8:8" x14ac:dyDescent="0.2">
      <c r="H1977" s="2"/>
    </row>
    <row r="1978" spans="8:8" x14ac:dyDescent="0.2">
      <c r="H1978" s="2"/>
    </row>
    <row r="1979" spans="8:8" x14ac:dyDescent="0.2">
      <c r="H1979" s="2"/>
    </row>
    <row r="1980" spans="8:8" x14ac:dyDescent="0.2">
      <c r="H1980" s="2"/>
    </row>
    <row r="1981" spans="8:8" x14ac:dyDescent="0.2">
      <c r="H1981" s="2"/>
    </row>
    <row r="1982" spans="8:8" x14ac:dyDescent="0.2">
      <c r="H1982" s="2"/>
    </row>
    <row r="1983" spans="8:8" x14ac:dyDescent="0.2">
      <c r="H1983" s="2"/>
    </row>
    <row r="1984" spans="8:8" x14ac:dyDescent="0.2">
      <c r="H1984" s="2"/>
    </row>
    <row r="1985" spans="8:8" x14ac:dyDescent="0.2">
      <c r="H1985" s="2"/>
    </row>
    <row r="1986" spans="8:8" x14ac:dyDescent="0.2">
      <c r="H1986" s="2"/>
    </row>
    <row r="1987" spans="8:8" x14ac:dyDescent="0.2">
      <c r="H1987" s="2"/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611111">
    <tabColor rgb="FF00B050"/>
  </sheetPr>
  <dimension ref="A1:BM53"/>
  <sheetViews>
    <sheetView zoomScale="115" zoomScaleNormal="115" workbookViewId="0">
      <pane ySplit="1" topLeftCell="A2" activePane="bottomLeft" state="frozenSplit"/>
      <selection pane="bottomLeft" activeCell="A7" sqref="A7"/>
    </sheetView>
  </sheetViews>
  <sheetFormatPr baseColWidth="10" defaultColWidth="10.1640625" defaultRowHeight="15" x14ac:dyDescent="0.2"/>
  <cols>
    <col min="1" max="1" width="63.33203125" style="5" bestFit="1" customWidth="1"/>
    <col min="2" max="2" width="62.33203125" style="5" bestFit="1" customWidth="1"/>
    <col min="3" max="16384" width="10.1640625" style="5"/>
  </cols>
  <sheetData>
    <row r="1" spans="1:65" ht="19" x14ac:dyDescent="0.25">
      <c r="A1" s="22" t="s">
        <v>1008</v>
      </c>
      <c r="B1" s="24" t="s">
        <v>1007</v>
      </c>
    </row>
    <row r="2" spans="1:65" ht="16" x14ac:dyDescent="0.2">
      <c r="A2" s="41" t="s">
        <v>0</v>
      </c>
      <c r="B2" s="40" t="s">
        <v>0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  <c r="AU2" s="23"/>
      <c r="AV2" s="23"/>
      <c r="AW2" s="23"/>
      <c r="AX2" s="23"/>
      <c r="AY2" s="23"/>
      <c r="AZ2" s="23"/>
      <c r="BA2" s="23"/>
      <c r="BB2" s="23"/>
      <c r="BC2" s="23"/>
      <c r="BD2" s="23"/>
      <c r="BE2" s="23"/>
      <c r="BF2" s="23"/>
      <c r="BG2" s="23"/>
      <c r="BH2" s="23"/>
      <c r="BI2" s="23"/>
      <c r="BJ2" s="23"/>
      <c r="BK2" s="23"/>
      <c r="BL2" s="23"/>
      <c r="BM2" s="23"/>
    </row>
    <row r="3" spans="1:65" ht="16" x14ac:dyDescent="0.2">
      <c r="A3" s="41" t="s">
        <v>1</v>
      </c>
      <c r="B3" s="40" t="s">
        <v>1</v>
      </c>
    </row>
    <row r="4" spans="1:65" ht="16" x14ac:dyDescent="0.2">
      <c r="A4" s="41" t="s">
        <v>2</v>
      </c>
      <c r="B4" s="40" t="s">
        <v>2</v>
      </c>
    </row>
    <row r="5" spans="1:65" ht="16" x14ac:dyDescent="0.2">
      <c r="A5" s="41" t="s">
        <v>3</v>
      </c>
      <c r="B5" s="40" t="s">
        <v>3</v>
      </c>
    </row>
    <row r="6" spans="1:65" ht="16" x14ac:dyDescent="0.2">
      <c r="A6" s="41" t="s">
        <v>4</v>
      </c>
      <c r="B6" s="40" t="s">
        <v>4</v>
      </c>
    </row>
    <row r="7" spans="1:65" ht="16" x14ac:dyDescent="0.2">
      <c r="A7" s="41" t="s">
        <v>5</v>
      </c>
      <c r="B7" s="40" t="s">
        <v>5</v>
      </c>
    </row>
    <row r="8" spans="1:65" ht="16" x14ac:dyDescent="0.2">
      <c r="A8" s="41" t="s">
        <v>6</v>
      </c>
      <c r="B8" s="40" t="s">
        <v>6</v>
      </c>
    </row>
    <row r="9" spans="1:65" ht="16" x14ac:dyDescent="0.2">
      <c r="A9" s="41" t="s">
        <v>7</v>
      </c>
      <c r="B9" s="40" t="s">
        <v>7</v>
      </c>
    </row>
    <row r="10" spans="1:65" ht="16" x14ac:dyDescent="0.2">
      <c r="A10" s="41" t="s">
        <v>8</v>
      </c>
      <c r="B10" s="40" t="s">
        <v>8</v>
      </c>
    </row>
    <row r="11" spans="1:65" ht="16" x14ac:dyDescent="0.2">
      <c r="A11" s="41" t="s">
        <v>9</v>
      </c>
      <c r="B11" s="40" t="s">
        <v>9</v>
      </c>
    </row>
    <row r="12" spans="1:65" ht="16" x14ac:dyDescent="0.2">
      <c r="A12" s="41" t="s">
        <v>10</v>
      </c>
      <c r="B12" s="40" t="s">
        <v>10</v>
      </c>
    </row>
    <row r="13" spans="1:65" ht="16" x14ac:dyDescent="0.2">
      <c r="A13" s="41" t="s">
        <v>11</v>
      </c>
      <c r="B13" s="40" t="s">
        <v>11</v>
      </c>
    </row>
    <row r="14" spans="1:65" ht="16" x14ac:dyDescent="0.2">
      <c r="A14" s="41" t="s">
        <v>12</v>
      </c>
      <c r="B14" s="40" t="s">
        <v>12</v>
      </c>
    </row>
    <row r="15" spans="1:65" ht="16" x14ac:dyDescent="0.2">
      <c r="A15" s="41" t="s">
        <v>13</v>
      </c>
      <c r="B15" s="40" t="s">
        <v>13</v>
      </c>
    </row>
    <row r="16" spans="1:65" ht="16" x14ac:dyDescent="0.2">
      <c r="A16" s="41" t="s">
        <v>14</v>
      </c>
      <c r="B16" s="40" t="s">
        <v>14</v>
      </c>
    </row>
    <row r="17" spans="1:2" ht="16" x14ac:dyDescent="0.2">
      <c r="A17" s="41" t="s">
        <v>15</v>
      </c>
      <c r="B17" s="40" t="s">
        <v>15</v>
      </c>
    </row>
    <row r="18" spans="1:2" ht="16" x14ac:dyDescent="0.2">
      <c r="A18" s="41" t="s">
        <v>16</v>
      </c>
      <c r="B18" s="40" t="s">
        <v>16</v>
      </c>
    </row>
    <row r="19" spans="1:2" ht="16" x14ac:dyDescent="0.2">
      <c r="A19" s="41" t="s">
        <v>17</v>
      </c>
      <c r="B19" s="40" t="s">
        <v>17</v>
      </c>
    </row>
    <row r="20" spans="1:2" ht="16" x14ac:dyDescent="0.2">
      <c r="A20" s="41" t="s">
        <v>1001</v>
      </c>
      <c r="B20" s="40" t="s">
        <v>1001</v>
      </c>
    </row>
    <row r="21" spans="1:2" ht="16" x14ac:dyDescent="0.2">
      <c r="A21" s="41" t="s">
        <v>18</v>
      </c>
      <c r="B21" s="40" t="s">
        <v>18</v>
      </c>
    </row>
    <row r="22" spans="1:2" ht="16" x14ac:dyDescent="0.2">
      <c r="A22" s="41" t="s">
        <v>1002</v>
      </c>
      <c r="B22" s="40" t="s">
        <v>1002</v>
      </c>
    </row>
    <row r="23" spans="1:2" ht="16" x14ac:dyDescent="0.2">
      <c r="A23" s="41" t="s">
        <v>19</v>
      </c>
      <c r="B23" s="40" t="s">
        <v>19</v>
      </c>
    </row>
    <row r="24" spans="1:2" ht="16" x14ac:dyDescent="0.2">
      <c r="A24" s="41" t="s">
        <v>20</v>
      </c>
      <c r="B24" s="40" t="s">
        <v>20</v>
      </c>
    </row>
    <row r="25" spans="1:2" ht="16" x14ac:dyDescent="0.2">
      <c r="A25" s="41" t="s">
        <v>21</v>
      </c>
      <c r="B25" s="40" t="s">
        <v>21</v>
      </c>
    </row>
    <row r="26" spans="1:2" ht="16" x14ac:dyDescent="0.2">
      <c r="A26" s="41" t="s">
        <v>22</v>
      </c>
      <c r="B26" s="40" t="s">
        <v>22</v>
      </c>
    </row>
    <row r="27" spans="1:2" ht="16" x14ac:dyDescent="0.2">
      <c r="A27" s="41" t="s">
        <v>23</v>
      </c>
      <c r="B27" s="40" t="s">
        <v>23</v>
      </c>
    </row>
    <row r="28" spans="1:2" ht="16" x14ac:dyDescent="0.2">
      <c r="A28" s="41" t="s">
        <v>1003</v>
      </c>
      <c r="B28" s="40" t="s">
        <v>1003</v>
      </c>
    </row>
    <row r="29" spans="1:2" ht="16" x14ac:dyDescent="0.2">
      <c r="A29" s="41" t="s">
        <v>24</v>
      </c>
      <c r="B29" s="40" t="s">
        <v>24</v>
      </c>
    </row>
    <row r="30" spans="1:2" ht="16" x14ac:dyDescent="0.2">
      <c r="A30" s="41" t="s">
        <v>25</v>
      </c>
      <c r="B30" s="40" t="s">
        <v>25</v>
      </c>
    </row>
    <row r="31" spans="1:2" ht="16" x14ac:dyDescent="0.2">
      <c r="A31" s="41" t="s">
        <v>26</v>
      </c>
      <c r="B31" s="40" t="s">
        <v>26</v>
      </c>
    </row>
    <row r="32" spans="1:2" ht="16" x14ac:dyDescent="0.2">
      <c r="A32" s="41" t="s">
        <v>27</v>
      </c>
      <c r="B32" s="40" t="s">
        <v>27</v>
      </c>
    </row>
    <row r="33" spans="1:2" ht="16" x14ac:dyDescent="0.2">
      <c r="A33" s="41" t="s">
        <v>28</v>
      </c>
      <c r="B33" s="40" t="s">
        <v>28</v>
      </c>
    </row>
    <row r="34" spans="1:2" ht="16" x14ac:dyDescent="0.2">
      <c r="A34" s="41" t="s">
        <v>29</v>
      </c>
      <c r="B34" s="40" t="s">
        <v>29</v>
      </c>
    </row>
    <row r="35" spans="1:2" ht="16" x14ac:dyDescent="0.2">
      <c r="A35" s="41" t="s">
        <v>1004</v>
      </c>
      <c r="B35" s="40" t="s">
        <v>1004</v>
      </c>
    </row>
    <row r="36" spans="1:2" ht="16" x14ac:dyDescent="0.2">
      <c r="A36" s="41" t="s">
        <v>30</v>
      </c>
      <c r="B36" s="40" t="s">
        <v>30</v>
      </c>
    </row>
    <row r="37" spans="1:2" ht="16" x14ac:dyDescent="0.2">
      <c r="A37" s="41" t="s">
        <v>1005</v>
      </c>
      <c r="B37" s="40" t="s">
        <v>1005</v>
      </c>
    </row>
    <row r="38" spans="1:2" ht="16" x14ac:dyDescent="0.2">
      <c r="A38" s="41" t="s">
        <v>31</v>
      </c>
      <c r="B38" s="40" t="s">
        <v>31</v>
      </c>
    </row>
    <row r="39" spans="1:2" ht="16" x14ac:dyDescent="0.2">
      <c r="A39" s="41" t="s">
        <v>1006</v>
      </c>
      <c r="B39" s="40" t="s">
        <v>1006</v>
      </c>
    </row>
    <row r="40" spans="1:2" ht="16" x14ac:dyDescent="0.2">
      <c r="A40" s="41" t="s">
        <v>32</v>
      </c>
      <c r="B40" s="40" t="s">
        <v>32</v>
      </c>
    </row>
    <row r="41" spans="1:2" ht="16" x14ac:dyDescent="0.2">
      <c r="A41" s="41" t="s">
        <v>33</v>
      </c>
      <c r="B41" s="40" t="s">
        <v>33</v>
      </c>
    </row>
    <row r="42" spans="1:2" ht="16" x14ac:dyDescent="0.2">
      <c r="A42" s="41" t="s">
        <v>34</v>
      </c>
      <c r="B42" s="40" t="s">
        <v>34</v>
      </c>
    </row>
    <row r="43" spans="1:2" ht="16" x14ac:dyDescent="0.2">
      <c r="A43" s="41" t="s">
        <v>35</v>
      </c>
      <c r="B43" s="40" t="s">
        <v>35</v>
      </c>
    </row>
    <row r="44" spans="1:2" ht="16" x14ac:dyDescent="0.2">
      <c r="A44" s="41" t="s">
        <v>36</v>
      </c>
      <c r="B44" s="40" t="s">
        <v>36</v>
      </c>
    </row>
    <row r="45" spans="1:2" ht="16" x14ac:dyDescent="0.2">
      <c r="A45" s="41" t="s">
        <v>37</v>
      </c>
      <c r="B45" s="40" t="s">
        <v>37</v>
      </c>
    </row>
    <row r="46" spans="1:2" ht="16" x14ac:dyDescent="0.2">
      <c r="A46" s="41" t="s">
        <v>38</v>
      </c>
      <c r="B46" s="40" t="s">
        <v>38</v>
      </c>
    </row>
    <row r="47" spans="1:2" ht="16" x14ac:dyDescent="0.2">
      <c r="A47" s="41" t="s">
        <v>39</v>
      </c>
      <c r="B47" s="40" t="s">
        <v>39</v>
      </c>
    </row>
    <row r="48" spans="1:2" ht="16" x14ac:dyDescent="0.2">
      <c r="A48" s="41" t="s">
        <v>40</v>
      </c>
      <c r="B48" s="40" t="s">
        <v>40</v>
      </c>
    </row>
    <row r="49" spans="1:2" ht="16" x14ac:dyDescent="0.2">
      <c r="A49" s="41" t="s">
        <v>41</v>
      </c>
      <c r="B49" s="40" t="s">
        <v>41</v>
      </c>
    </row>
    <row r="50" spans="1:2" ht="16" x14ac:dyDescent="0.2">
      <c r="A50" s="41" t="s">
        <v>42</v>
      </c>
      <c r="B50" s="40" t="s">
        <v>42</v>
      </c>
    </row>
    <row r="51" spans="1:2" ht="16" x14ac:dyDescent="0.2">
      <c r="A51" s="41" t="s">
        <v>1013</v>
      </c>
      <c r="B51" s="40" t="s">
        <v>1013</v>
      </c>
    </row>
    <row r="52" spans="1:2" ht="16" x14ac:dyDescent="0.2">
      <c r="A52" s="41" t="s">
        <v>1014</v>
      </c>
      <c r="B52" s="40" t="s">
        <v>1014</v>
      </c>
    </row>
    <row r="53" spans="1:2" ht="16" x14ac:dyDescent="0.2">
      <c r="A53" s="41" t="s">
        <v>1015</v>
      </c>
      <c r="B53" s="40" t="s">
        <v>1015</v>
      </c>
    </row>
  </sheetData>
  <autoFilter ref="A1:B16362" xr:uid="{00000000-0009-0000-0000-000007000000}"/>
  <pageMargins left="0.7" right="0.7" top="0.75" bottom="0.75" header="0.3" footer="0.3"/>
  <pageSetup paperSize="9" orientation="portrait" horizontalDpi="90" verticalDpi="9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14</vt:i4>
      </vt:variant>
    </vt:vector>
  </HeadingPairs>
  <TitlesOfParts>
    <vt:vector size="22" baseType="lpstr">
      <vt:lpstr>Итоги</vt:lpstr>
      <vt:lpstr>Лист1</vt:lpstr>
      <vt:lpstr>Поартикульно</vt:lpstr>
      <vt:lpstr>Input_details</vt:lpstr>
      <vt:lpstr>Intermediat</vt:lpstr>
      <vt:lpstr>Details</vt:lpstr>
      <vt:lpstr>Номенклатура</vt:lpstr>
      <vt:lpstr>Config</vt:lpstr>
      <vt:lpstr>Bonus</vt:lpstr>
      <vt:lpstr>Comission</vt:lpstr>
      <vt:lpstr>Else_Comissions</vt:lpstr>
      <vt:lpstr>Enumeration</vt:lpstr>
      <vt:lpstr>Inspection</vt:lpstr>
      <vt:lpstr>Logostic</vt:lpstr>
      <vt:lpstr>Penalty</vt:lpstr>
      <vt:lpstr>Profit</vt:lpstr>
      <vt:lpstr>Realization_Netcost</vt:lpstr>
      <vt:lpstr>Revenue</vt:lpstr>
      <vt:lpstr>Storage</vt:lpstr>
      <vt:lpstr>Tax</vt:lpstr>
      <vt:lpstr>Tax_Rate</vt:lpstr>
      <vt:lpstr>To_Be_Paid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Дмитрий</dc:creator>
  <cp:lastModifiedBy>Даниэль Нахумов</cp:lastModifiedBy>
  <dcterms:created xsi:type="dcterms:W3CDTF">2015-06-05T18:19:34Z</dcterms:created>
  <dcterms:modified xsi:type="dcterms:W3CDTF">2024-04-16T10:42:53Z</dcterms:modified>
</cp:coreProperties>
</file>